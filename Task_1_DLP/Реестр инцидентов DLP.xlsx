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dre\Desktop\"/>
    </mc:Choice>
  </mc:AlternateContent>
  <xr:revisionPtr revIDLastSave="0" documentId="13_ncr:1_{92DCEE10-D9C1-4097-A267-1272B72C22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Инциденты" sheetId="1" r:id="rId1"/>
    <sheet name="Справочник" sheetId="4" r:id="rId2"/>
    <sheet name="Баллы риска пользователей" sheetId="5" r:id="rId3"/>
    <sheet name="Виджет по источникам" sheetId="6" r:id="rId4"/>
  </sheets>
  <definedNames>
    <definedName name="_xlnm._FilterDatabase" localSheetId="0" hidden="1">Инциденты!$A$1:$O$44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1" l="1"/>
  <c r="O36" i="1"/>
  <c r="O37" i="1"/>
  <c r="O20" i="1"/>
  <c r="O38" i="1"/>
  <c r="O21" i="1"/>
  <c r="O2" i="1"/>
  <c r="O4" i="1"/>
  <c r="O17" i="1"/>
  <c r="O28" i="1"/>
  <c r="O29" i="1"/>
  <c r="O30" i="1"/>
  <c r="O31" i="1"/>
  <c r="O22" i="1"/>
  <c r="O13" i="1"/>
  <c r="O14" i="1"/>
  <c r="O32" i="1"/>
  <c r="O5" i="1"/>
  <c r="O3" i="1"/>
  <c r="O39" i="1"/>
  <c r="O40" i="1"/>
  <c r="O33" i="1"/>
  <c r="O23" i="1"/>
  <c r="O8" i="1"/>
  <c r="O34" i="1"/>
  <c r="O6" i="1"/>
  <c r="O41" i="1"/>
  <c r="O42" i="1"/>
  <c r="O9" i="1"/>
  <c r="O24" i="1"/>
  <c r="O25" i="1"/>
  <c r="O43" i="1"/>
  <c r="O10" i="1"/>
  <c r="O15" i="1"/>
  <c r="O44" i="1"/>
  <c r="O27" i="1"/>
  <c r="O16" i="1"/>
  <c r="O35" i="1"/>
  <c r="O18" i="1"/>
  <c r="O26" i="1"/>
  <c r="O7" i="1"/>
  <c r="O11" i="1"/>
  <c r="O12" i="1"/>
</calcChain>
</file>

<file path=xl/sharedStrings.xml><?xml version="1.0" encoding="utf-8"?>
<sst xmlns="http://schemas.openxmlformats.org/spreadsheetml/2006/main" count="355" uniqueCount="190">
  <si>
    <t>№</t>
  </si>
  <si>
    <t>Дата</t>
  </si>
  <si>
    <t>№ сотрудника</t>
  </si>
  <si>
    <t>Должность / Подразделение</t>
  </si>
  <si>
    <t>Канал передачи / Источник</t>
  </si>
  <si>
    <t>Описание инцидента и передаваемые данные</t>
  </si>
  <si>
    <t>Объем / Специфика</t>
  </si>
  <si>
    <t>Бота нет</t>
  </si>
  <si>
    <t>Масштаб</t>
  </si>
  <si>
    <t>17.06</t>
  </si>
  <si>
    <t>Заместитель директора по безопасности / Руководитель ОВК клиники</t>
  </si>
  <si>
    <t>Соцсеть (VK)</t>
  </si>
  <si>
    <t>Через VK отправил таблицу с данными по товарному запасу (услуга/препарат, склад, физические остатки, категория, фин. сумма). Получателя с такой фамилией в компании нет</t>
  </si>
  <si>
    <t>XLSX, 1831 строка; получатель вне организации; ПОВТОРНО (12: инц. 12 + 27)</t>
  </si>
  <si>
    <t>A1</t>
  </si>
  <si>
    <t>Пояснения</t>
  </si>
  <si>
    <t>03.06</t>
  </si>
  <si>
    <t>Младший менеджер по ценообразованию услуг</t>
  </si>
  <si>
    <t>Telegram</t>
  </si>
  <si>
    <t>Отправила таблицу с план/факт выручкой за май (тек./прошл. год), приростом и маржой по категориям медуслуг. Получатель не подтвержден (в AD есть с идентичным ФИО)</t>
  </si>
  <si>
    <t>XLSX, 3 листа (3 региона)</t>
  </si>
  <si>
    <t>30.06</t>
  </si>
  <si>
    <t>Специалист по отменам и возвратам онлайн-записей</t>
  </si>
  <si>
    <t>Отправила в чат соцсети таблицу с ПДн и врачебной тайной пациентов (ФИО, телефон, e-mail, адрес, назначенные процедуры)</t>
  </si>
  <si>
    <t>XLSX, 26 строк; спец. категории ПДн</t>
  </si>
  <si>
    <t>Главный специалист по учету расходных материалов</t>
  </si>
  <si>
    <t>Отправила в Telegram-чат таблицу с актуальными логином и паролем от УЗ User_8 в Active Directory и корпоративном сервисе Google Workspace</t>
  </si>
  <si>
    <t>Логин/пароль доменной УЗ + Google Workspace</t>
  </si>
  <si>
    <t>A3</t>
  </si>
  <si>
    <t>23.06</t>
  </si>
  <si>
    <t>Старший менеджер по работе с контрагентами</t>
  </si>
  <si>
    <t>Хранит логины и пароли партнеров от корпоративных ресурсов в Telegram</t>
  </si>
  <si>
    <t>УЗ партнеров в мессенджере</t>
  </si>
  <si>
    <t>16.06</t>
  </si>
  <si>
    <t>Старший менеджер обучения / Отдел обучения call-центра</t>
  </si>
  <si>
    <t>Личная почта</t>
  </si>
  <si>
    <t>Отправила на личный почтовый ящик ссылку на презентацию в Figma с регламентом работы операторов с пациентами (документ в общем доступе)</t>
  </si>
  <si>
    <t>Ссылка на документ общего доступа</t>
  </si>
  <si>
    <t>28.06</t>
  </si>
  <si>
    <t>Аккаунт-менеджер по работе с партнерскими лабораториями</t>
  </si>
  <si>
    <t>Отправила в «Избранное» соцсети таблицу с учетными данными авторизации (почта/пароль) к личному кабинету МИС</t>
  </si>
  <si>
    <t>XLSX, 254 строки учетных данных</t>
  </si>
  <si>
    <t>A2</t>
  </si>
  <si>
    <t>09.06</t>
  </si>
  <si>
    <t>Менеджер по медицинскому маркетингу / Отдел маркетинга</t>
  </si>
  <si>
    <t>Отправила в Telegram-чат таблицу с себестоимостью медицинских исследований</t>
  </si>
  <si>
    <t>XLSX, 6409 строк (массовый объем)</t>
  </si>
  <si>
    <t>Менеджер по сервису и обучению персонала</t>
  </si>
  <si>
    <t>Отправила в «Избранное» Telegram таблицу с информацией по премиальной части линейного медперсонала за прошлый месяц</t>
  </si>
  <si>
    <t>XLSX, 56 строк</t>
  </si>
  <si>
    <t>07.06</t>
  </si>
  <si>
    <t>Администратор регистратуры / Клиника</t>
  </si>
  <si>
    <t>Отправила в «Избранное» VK таблицу с персональными данными сотрудников клиники</t>
  </si>
  <si>
    <t>XLSX, 21 строка ПДн</t>
  </si>
  <si>
    <t>Специалист технической поддержки / Группа ТП</t>
  </si>
  <si>
    <t>USB-накопитель</t>
  </si>
  <si>
    <t>Скопировал на внешний накопитель папки с конфиденциальной информацией из сетевого ресурса, включая ПДн пациентов, сканы паспортов, счета на оплату и медицинскую документацию</t>
  </si>
  <si>
    <t>30 строк ПДн пациентов, сканы паспортов, счета; USB\General_UDisk_Device</t>
  </si>
  <si>
    <t>22.06</t>
  </si>
  <si>
    <t>Специалист по работе с обращениями пациентов 1 категории / Чат-поддержка</t>
  </si>
  <si>
    <t>Личное облако</t>
  </si>
  <si>
    <t>Работала в общедоступной облачной таблице с номерами телефонов пациентов, датами и описаниями жалоб/обращений</t>
  </si>
  <si>
    <t>ПДн пациентов (телефоны, жалобы); общий доступ</t>
  </si>
  <si>
    <t>01.06</t>
  </si>
  <si>
    <t>Директор подразделения</t>
  </si>
  <si>
    <t>Отправил в Telegram-чат таблицу с информацией по выручке по месяцам на филиале</t>
  </si>
  <si>
    <t>XLSX-файл; выручка филиала</t>
  </si>
  <si>
    <t>Функциональный архитектор</t>
  </si>
  <si>
    <t>Хранит в личном облачном хранилище папку с проектами (лаборатория, телемедицина, поставки и др.), таблицы и описание функционала внутренних сервисов МИС</t>
  </si>
  <si>
    <t>8 папок проектов; ПО-клиент на рабочем ПК</t>
  </si>
  <si>
    <t>08.06</t>
  </si>
  <si>
    <t>Менеджер по обеспечению препаратами</t>
  </si>
  <si>
    <t>Отправила в Telegram-чат таблицу с себестоимостью медицинских препаратов и расходников</t>
  </si>
  <si>
    <t>XLSX, 129 строк</t>
  </si>
  <si>
    <t>Главный врач филиала / Руководители</t>
  </si>
  <si>
    <t>Отправила в Telegram-чат таблицу с данными по маржинальности высокотехнологичных медицинских услуг</t>
  </si>
  <si>
    <t>XLSX, 445 строк на 3 листах</t>
  </si>
  <si>
    <t>Директор филиала / Руководители</t>
  </si>
  <si>
    <t>Публичный ИИ-сервис</t>
  </si>
  <si>
    <t>Выгрузила в публичный ИИ-сервис таблицу с показателями: направление услуг, маржа %, выручка руб., количество приемов</t>
  </si>
  <si>
    <t>XLSX, 691 строка</t>
  </si>
  <si>
    <t>21.06</t>
  </si>
  <si>
    <t>Data-аналитик по ценообразованию</t>
  </si>
  <si>
    <t>XLSX; данные по всей сети</t>
  </si>
  <si>
    <t>Управляющий филиалом / Клиника</t>
  </si>
  <si>
    <t>Отправила в публичный ИИ-сервис таблицу с промптом на анализ: полные финансовые и операционные показатели медцентра за 2 года (выручка, план, трафик, средний чек, маржа, ФОТ врачей)</t>
  </si>
  <si>
    <t>XLSX; полные показатели филиала за 2 года</t>
  </si>
  <si>
    <t>Менеджер по сервису и обучению</t>
  </si>
  <si>
    <t>Отправила в «Избранное» VK снимок экрана с данными по выручке и марже (план/факт за месяц) по направлению</t>
  </si>
  <si>
    <t>Скриншот</t>
  </si>
  <si>
    <t>25.06</t>
  </si>
  <si>
    <t>Бухгалтер по учету затрат / Бухгалтерия</t>
  </si>
  <si>
    <t>Отправила в публичный ИИ-сервис документ с оборотно-сальдовой ведомостью по юрлицу за прошлые периоды, затем загрузила его в личный кабинет вуза как отчет по практике</t>
  </si>
  <si>
    <t>DOCX; дебет 10,8 млн руб.</t>
  </si>
  <si>
    <t>Бизнес-аналитик / Направление качества</t>
  </si>
  <si>
    <t>Выгрузил в «Избранное» VK файл с коммерческой информацией из внутренней системы «Описание процесса закупа и приемки медикаментов у 3PL-провайдера»</t>
  </si>
  <si>
    <t>PDF, 36 страниц</t>
  </si>
  <si>
    <t>Ведущий специалист по взаимодействию с Минздравом и госорганами</t>
  </si>
  <si>
    <t>Создал облачную таблицу под личной УЗ с информацией об официальных обращениях компании в контролирующие органы</t>
  </si>
  <si>
    <t>Общедоступный облачный сервис</t>
  </si>
  <si>
    <t>Руководитель направления / Коммерческий отдел</t>
  </si>
  <si>
    <t>Актуализировала резюме с помощью ИИ, общается в Telegram с карьерным консультантом. На текущей позиции работает со всеми коммерческими данными (выручка, маржа)</t>
  </si>
  <si>
    <t>Доступ к выручке и марже</t>
  </si>
  <si>
    <t>Ведущий специалист по охране</t>
  </si>
  <si>
    <t>Откликнулся на вакансию «Начальник отдела безопасности» в сторонней компании, вел переписку с личной почты с рекрутером</t>
  </si>
  <si>
    <t>Переписка с личной почты; ПОВТОРНО (33: инц. 33 + 39)</t>
  </si>
  <si>
    <t>Аналитик по коммерции / Департамент развития</t>
  </si>
  <si>
    <t>Карьерный сервис (HH.ru)</t>
  </si>
  <si>
    <t>Находится в активном поиске работы на сервисе HH.ru</t>
  </si>
  <si>
    <t>Резюме на внешнем карьерном сервисе</t>
  </si>
  <si>
    <t>Разработчик 1С / Департамент разработки</t>
  </si>
  <si>
    <t>Находится в активном поиске работы, отправляет резюме в сторонние компании</t>
  </si>
  <si>
    <t>Резюме в сторонние компании</t>
  </si>
  <si>
    <t>02.06</t>
  </si>
  <si>
    <t>Старший маркетинг-менеджер / Отдел маркетинга</t>
  </si>
  <si>
    <t>Загрузила резюме в публичный ИИ-сервис и попросила написать сопроводительное письмо по вакансии в компанию-конкурент</t>
  </si>
  <si>
    <t>Резюме + упоминание конкурента</t>
  </si>
  <si>
    <t>14.06</t>
  </si>
  <si>
    <t>Оператор call-центра / Административный персонал</t>
  </si>
  <si>
    <t>МФО (фин. сервисы)</t>
  </si>
  <si>
    <t>Просроченная задолженность в МФО 1 (22 544 руб.), активные займы в МФО 2 (10 000 руб.) и МФО 3 (16 557 руб.). Задолженности закрывает, негатива к компании нет</t>
  </si>
  <si>
    <t>3 МФО, ~49 100 руб. суммарно</t>
  </si>
  <si>
    <t>15.06</t>
  </si>
  <si>
    <t>Менеджер по страхованию и ДМС / Юридический департамент</t>
  </si>
  <si>
    <t>Отправила заявку на кредит в МФО 4 (15 000 руб.), получила отказ. Негатива к компании нет</t>
  </si>
  <si>
    <t>1 МФО, 15 000 руб.</t>
  </si>
  <si>
    <t>Руководитель направления по корпоративной аналитике</t>
  </si>
  <si>
    <t>Администрирует стороннее коммерческое сообщество в соцсети (магазин экипировки)</t>
  </si>
  <si>
    <t>5600 подписчиков</t>
  </si>
  <si>
    <t>Старший менеджер по работе с партнерами и ДМС</t>
  </si>
  <si>
    <t>Ведущий специалист по охране / Клиника</t>
  </si>
  <si>
    <t>Букмекерский сайт</t>
  </si>
  <si>
    <t>Совершает ставки на спорт на букмекерском сайте (ставка 893 руб. на киберспорт)</t>
  </si>
  <si>
    <t>1 ставка, 893 руб.</t>
  </si>
  <si>
    <t>Руководитель отдела по найму</t>
  </si>
  <si>
    <t>Проходила собеседование на позицию «Директор по подбору» в сторонний крупный холдинг через кадровое агентство</t>
  </si>
  <si>
    <t>Собеседование через агентство</t>
  </si>
  <si>
    <t>26.06</t>
  </si>
  <si>
    <t>Оператор call-центра</t>
  </si>
  <si>
    <t>Просроченная задолженность в МФО 5 (41 490 руб.) и МФО 6 (39 322 руб.), а также активные займы по ранее зафиксированному инциденту</t>
  </si>
  <si>
    <t>2 МФО, 80 812 руб.; повторный инцидент</t>
  </si>
  <si>
    <t>Эксперт по работе с клиентами 3 категории / Отдел координации врачебных бригад</t>
  </si>
  <si>
    <t>Нерегламентированное ПО (рабочий ПК)</t>
  </si>
  <si>
    <t>Использовал на рабочем ПК стороннее ПО-кликер (GSAutoClicker). Ранее уже привлекался по аналогичному инциденту</t>
  </si>
  <si>
    <t>Повторное нарушение</t>
  </si>
  <si>
    <t>A4</t>
  </si>
  <si>
    <t>04.06</t>
  </si>
  <si>
    <t>Ведущий специалист отдела внутреннего контроля</t>
  </si>
  <si>
    <t>Использует пароль от доменной УЗ, не отвечающий требованиям ИБ. Второй фактор на почте установлен</t>
  </si>
  <si>
    <t>Пароль зафиксирован в отчете DLP</t>
  </si>
  <si>
    <t>Заместитель директора по безопасности / Клиника</t>
  </si>
  <si>
    <t>Специалист по учету медикаментов</t>
  </si>
  <si>
    <t>05.06</t>
  </si>
  <si>
    <t>Ведущий специалист отдела внутреннего контроля / Клиника</t>
  </si>
  <si>
    <t>Менеджер отдела развития / Департамент развития</t>
  </si>
  <si>
    <t>Установил на рабочем ПК запрещенное ПО (Torrent 3.5) и скачивал медиаконтент</t>
  </si>
  <si>
    <t>BitTorrent-клиент на рабочем ПК</t>
  </si>
  <si>
    <t>Ведущий консультант ERP / Департамент разработки core-систем</t>
  </si>
  <si>
    <t>Установил на корпоративное устройство нерегламентированное VPN-ПО («VanyaVpn»)</t>
  </si>
  <si>
    <t>Сторонний VPN-клиент</t>
  </si>
  <si>
    <t>Системный администратор / Группа ТП</t>
  </si>
  <si>
    <t>Скачал с внешнего ресурса образ загрузочного диска Windows PE; образ перед записью просканирован не был, скопирован на внешний накопитель, факт использования в сети не зафиксирован</t>
  </si>
  <si>
    <t>Загрузочный образ ОС на USB</t>
  </si>
  <si>
    <t>Формула</t>
  </si>
  <si>
    <t>Типы инцидента: 
A1 - Передача данных внешнему получателю
A2 - Передача данных в некотролируемую среду (хранилище/канал связи)
A3 - Нарушение мер технического контроля
A4 - Риск индикатор (есть мотив, но факта утечки нет)</t>
  </si>
  <si>
    <t>Категории данных: 
Д1 -  Учетные данные от инфраструктуры
Д2 - Спец ПДн например, врачебная тайна
Д3 - Коммерческая тайна (финансово коммерческие данные)
Д4 - ПДн сотрудников или пациентов (ФИО, паспортные данные без медицинских полей)
Д5 - Внутренние регламенты/документы
Д6 - Нет утечки данных</t>
  </si>
  <si>
    <t>Рецидив</t>
  </si>
  <si>
    <t>Умысел (инсайдер)</t>
  </si>
  <si>
    <t>Тип</t>
  </si>
  <si>
    <t>Вес</t>
  </si>
  <si>
    <t>Категория</t>
  </si>
  <si>
    <t>D1</t>
  </si>
  <si>
    <t>D2</t>
  </si>
  <si>
    <t>D3</t>
  </si>
  <si>
    <t>D4</t>
  </si>
  <si>
    <t>D5</t>
  </si>
  <si>
    <t>D6</t>
  </si>
  <si>
    <t>Тип инцидента</t>
  </si>
  <si>
    <t>Категория данных</t>
  </si>
  <si>
    <t>Балл риска события</t>
  </si>
  <si>
    <t>Категории данных: 
D1 -  Учетные данные от инфраструктуры
D2 - Спец ПДн например, врачебная тайна
D3 - Коммерческая тайна (финансово коммерческие данные)
D4 - ПДн сотрудников или пациентов (ФИО, паспортные данные без медицинских полей)
D5 - Внутренние регламенты/документы/процессы в сети
D6 - Нет утечки данных</t>
  </si>
  <si>
    <t>Неверефицированный получатель / Необратимость</t>
  </si>
  <si>
    <r>
      <t xml:space="preserve">Балл риска пользователя  = Сумма баллов риска инцидента, где пользователь был вовлечен
</t>
    </r>
    <r>
      <rPr>
        <sz val="11"/>
        <color theme="1"/>
        <rFont val="Arial"/>
        <family val="2"/>
        <charset val="204"/>
      </rPr>
      <t>Как идея - можно также в балл риска пользователя внести доп вес в виде его доступов, для указания на критичность самого пользователя</t>
    </r>
    <r>
      <rPr>
        <sz val="14"/>
        <color theme="1"/>
        <rFont val="Arial"/>
        <family val="2"/>
        <charset val="204"/>
      </rPr>
      <t>.</t>
    </r>
  </si>
  <si>
    <t>Названия строк</t>
  </si>
  <si>
    <t>Общий итог</t>
  </si>
  <si>
    <t>Количество по полю Канал передачи / Источник</t>
  </si>
  <si>
    <t>Нарушение политики ИБ</t>
  </si>
  <si>
    <t>Подробнее про типы инцидентов</t>
  </si>
  <si>
    <t>Балл Риска = AX*DX+доп.веса</t>
  </si>
  <si>
    <t>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</si>
</sst>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name val="Arial"/>
      <family val="2"/>
      <charset val="204"/>
    </font>
    <font>
      <b/>
      <sz val="12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sz val="8"/>
      <name val="Calibri"/>
      <family val="2"/>
      <scheme val="minor"/>
    </font>
    <font>
      <sz val="14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164" fontId="4" fillId="2" borderId="0" xfId="0" applyNumberFormat="1" applyFont="1" applyFill="1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 wrapText="1"/>
    </xf>
    <xf numFmtId="0" fontId="5" fillId="0" borderId="0" xfId="0" applyFont="1"/>
    <xf numFmtId="0" fontId="4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Alignment="1">
      <alignment horizontal="center"/>
    </xf>
  </cellXfs>
  <cellStyles count="1">
    <cellStyle name="Обычный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[zadanie1_incidents.xlsx]Виджет по источникам!Сводная таблица1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'Виджет по источникам'!$B$3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82A-40E2-8B2D-063EE4B6A0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82A-40E2-8B2D-063EE4B6A0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82A-40E2-8B2D-063EE4B6A0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82A-40E2-8B2D-063EE4B6A0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82A-40E2-8B2D-063EE4B6A03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82A-40E2-8B2D-063EE4B6A03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82A-40E2-8B2D-063EE4B6A03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82A-40E2-8B2D-063EE4B6A03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82A-40E2-8B2D-063EE4B6A03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82A-40E2-8B2D-063EE4B6A03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A82A-40E2-8B2D-063EE4B6A0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'Виджет по источникам'!$A$4:$A$15</c:f>
              <c:strCache>
                <c:ptCount val="11"/>
                <c:pt idx="0">
                  <c:v>Telegram</c:v>
                </c:pt>
                <c:pt idx="1">
                  <c:v>Соцсеть (VK)</c:v>
                </c:pt>
                <c:pt idx="2">
                  <c:v>Нарушение политики ИБ</c:v>
                </c:pt>
                <c:pt idx="3">
                  <c:v>Публичный ИИ-сервис</c:v>
                </c:pt>
                <c:pt idx="4">
                  <c:v>Карьерный сервис (HH.ru)</c:v>
                </c:pt>
                <c:pt idx="5">
                  <c:v>МФО (фин. сервисы)</c:v>
                </c:pt>
                <c:pt idx="6">
                  <c:v>Личное облако</c:v>
                </c:pt>
                <c:pt idx="7">
                  <c:v>USB-накопитель</c:v>
                </c:pt>
                <c:pt idx="8">
                  <c:v>Личная почта</c:v>
                </c:pt>
                <c:pt idx="9">
                  <c:v>Нерегламентированное ПО (рабочий ПК)</c:v>
                </c:pt>
                <c:pt idx="10">
                  <c:v>Букмекерский сайт</c:v>
                </c:pt>
              </c:strCache>
            </c:strRef>
          </c:cat>
          <c:val>
            <c:numRef>
              <c:f>'Виджет по источникам'!$B$4:$B$15</c:f>
              <c:numCache>
                <c:formatCode>General</c:formatCode>
                <c:ptCount val="11"/>
                <c:pt idx="0">
                  <c:v>9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D-4151-B522-236782720EC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352424</xdr:colOff>
      <xdr:row>6</xdr:row>
      <xdr:rowOff>71437</xdr:rowOff>
    </xdr:from>
    <xdr:to>
      <xdr:col>12</xdr:col>
      <xdr:colOff>200025</xdr:colOff>
      <xdr:row>28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2DF498D-3F4C-45E4-A777-6516864B1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узыченко Андрей" refreshedDate="46273.732604861114" createdVersion="6" refreshedVersion="6" minRefreshableVersion="3" recordCount="43" xr:uid="{A30679C8-AC96-4210-B132-BD1138CD5947}">
  <cacheSource type="worksheet">
    <worksheetSource ref="E1:E44" sheet="Инциденты"/>
  </cacheSource>
  <cacheFields count="1">
    <cacheField name="Канал передачи / Источник" numFmtId="0">
      <sharedItems count="12">
        <s v="Telegram"/>
        <s v="USB-накопитель"/>
        <s v="Соцсеть (VK)"/>
        <s v="Публичный ИИ-сервис"/>
        <s v="Личное облако"/>
        <s v="МФО (фин. сервисы)"/>
        <s v="Личная почта"/>
        <s v="Нерегламентированное ПО (рабочий ПК)"/>
        <s v="Нарушение политики ИБ"/>
        <s v="Карьерный сервис (HH.ru)"/>
        <s v="Букмекерский сайт"/>
        <s v="Доменная УЗ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</r>
  <r>
    <x v="1"/>
  </r>
  <r>
    <x v="0"/>
  </r>
  <r>
    <x v="0"/>
  </r>
  <r>
    <x v="2"/>
  </r>
  <r>
    <x v="2"/>
  </r>
  <r>
    <x v="3"/>
  </r>
  <r>
    <x v="3"/>
  </r>
  <r>
    <x v="3"/>
  </r>
  <r>
    <x v="2"/>
  </r>
  <r>
    <x v="0"/>
  </r>
  <r>
    <x v="0"/>
  </r>
  <r>
    <x v="0"/>
  </r>
  <r>
    <x v="0"/>
  </r>
  <r>
    <x v="3"/>
  </r>
  <r>
    <x v="4"/>
  </r>
  <r>
    <x v="5"/>
  </r>
  <r>
    <x v="2"/>
  </r>
  <r>
    <x v="2"/>
  </r>
  <r>
    <x v="0"/>
  </r>
  <r>
    <x v="2"/>
  </r>
  <r>
    <x v="6"/>
  </r>
  <r>
    <x v="4"/>
  </r>
  <r>
    <x v="4"/>
  </r>
  <r>
    <x v="7"/>
  </r>
  <r>
    <x v="0"/>
  </r>
  <r>
    <x v="8"/>
  </r>
  <r>
    <x v="8"/>
  </r>
  <r>
    <x v="8"/>
  </r>
  <r>
    <x v="8"/>
  </r>
  <r>
    <x v="8"/>
  </r>
  <r>
    <x v="8"/>
  </r>
  <r>
    <x v="1"/>
  </r>
  <r>
    <x v="6"/>
  </r>
  <r>
    <x v="9"/>
  </r>
  <r>
    <x v="9"/>
  </r>
  <r>
    <x v="3"/>
  </r>
  <r>
    <x v="5"/>
  </r>
  <r>
    <x v="5"/>
  </r>
  <r>
    <x v="2"/>
  </r>
  <r>
    <x v="9"/>
  </r>
  <r>
    <x v="10"/>
  </r>
  <r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4F8B8E-1A4E-4B2D-8C62-5024CF81FCD1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6">
  <location ref="A3:B15" firstHeaderRow="1" firstDataRow="1" firstDataCol="1"/>
  <pivotFields count="1">
    <pivotField axis="axisRow" dataField="1" showAll="0" sortType="descending">
      <items count="13">
        <item x="0"/>
        <item x="1"/>
        <item x="10"/>
        <item m="1" x="11"/>
        <item x="9"/>
        <item x="6"/>
        <item x="4"/>
        <item x="5"/>
        <item x="7"/>
        <item x="3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12">
    <i>
      <x/>
    </i>
    <i>
      <x v="10"/>
    </i>
    <i>
      <x v="11"/>
    </i>
    <i>
      <x v="9"/>
    </i>
    <i>
      <x v="4"/>
    </i>
    <i>
      <x v="7"/>
    </i>
    <i>
      <x v="6"/>
    </i>
    <i>
      <x v="1"/>
    </i>
    <i>
      <x v="5"/>
    </i>
    <i>
      <x v="8"/>
    </i>
    <i>
      <x v="2"/>
    </i>
    <i t="grand">
      <x/>
    </i>
  </rowItems>
  <colItems count="1">
    <i/>
  </colItems>
  <dataFields count="1">
    <dataField name="Количество по полю Канал передачи / Источник" fld="0" subtotal="count" baseField="0" baseItem="0"/>
  </dataFields>
  <chartFormats count="3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5F15CD-1B22-4EE6-9802-AA99514C0C46}" name="Таблица4" displayName="Таблица4" ref="A1:B42" totalsRowShown="0" headerRowDxfId="3" dataDxfId="2">
  <autoFilter ref="A1:B42" xr:uid="{45F3B52E-B6FD-42B5-9F85-BCB62DEB2A90}"/>
  <sortState xmlns:xlrd2="http://schemas.microsoft.com/office/spreadsheetml/2017/richdata2" ref="A2:B42">
    <sortCondition descending="1" ref="B1:B42"/>
  </sortState>
  <tableColumns count="2">
    <tableColumn id="1" xr3:uid="{59B58070-221A-4D52-8ABF-57D0C033984D}" name="№ сотрудника" dataDxfId="1"/>
    <tableColumn id="2" xr3:uid="{40E6A00F-4AEF-4F28-808A-474CABD1A91A}" name="Балл риска события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"/>
  <sheetViews>
    <sheetView tabSelected="1" zoomScale="70" zoomScaleNormal="70" workbookViewId="0">
      <pane ySplit="1" topLeftCell="A2" activePane="bottomLeft" state="frozen"/>
      <selection pane="bottomLeft" activeCell="D7" sqref="D7"/>
    </sheetView>
  </sheetViews>
  <sheetFormatPr defaultRowHeight="15.75" x14ac:dyDescent="0.25"/>
  <cols>
    <col min="1" max="1" width="5" style="1" customWidth="1"/>
    <col min="2" max="2" width="7" style="1" customWidth="1"/>
    <col min="3" max="3" width="15.85546875" style="1" customWidth="1"/>
    <col min="4" max="4" width="38" style="1" customWidth="1"/>
    <col min="5" max="5" width="26" style="1" customWidth="1"/>
    <col min="6" max="6" width="60" style="1" customWidth="1"/>
    <col min="7" max="7" width="30" style="1" customWidth="1"/>
    <col min="8" max="8" width="15.28515625" style="1" bestFit="1" customWidth="1"/>
    <col min="9" max="9" width="14.42578125" style="1" bestFit="1" customWidth="1"/>
    <col min="10" max="10" width="13.140625" style="1" bestFit="1" customWidth="1"/>
    <col min="11" max="11" width="13.42578125" style="1" bestFit="1" customWidth="1"/>
    <col min="12" max="12" width="19.85546875" style="1" customWidth="1"/>
    <col min="13" max="13" width="16.140625" style="1" customWidth="1"/>
    <col min="14" max="14" width="12.5703125" style="1" bestFit="1" customWidth="1"/>
    <col min="15" max="15" width="17.5703125" style="2" bestFit="1" customWidth="1"/>
    <col min="16" max="16" width="3.42578125" style="1" customWidth="1"/>
    <col min="17" max="17" width="46.28515625" style="1" customWidth="1"/>
    <col min="18" max="18" width="32.28515625" style="1" customWidth="1"/>
    <col min="19" max="19" width="9.140625" style="1" customWidth="1"/>
    <col min="20" max="20" width="38.28515625" style="1" customWidth="1"/>
    <col min="21" max="16384" width="9.140625" style="1"/>
  </cols>
  <sheetData>
    <row r="1" spans="1:20" s="6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177</v>
      </c>
      <c r="I1" s="4" t="s">
        <v>178</v>
      </c>
      <c r="J1" s="4" t="s">
        <v>7</v>
      </c>
      <c r="K1" s="4" t="s">
        <v>166</v>
      </c>
      <c r="L1" s="4" t="s">
        <v>181</v>
      </c>
      <c r="M1" s="4" t="s">
        <v>167</v>
      </c>
      <c r="N1" s="4" t="s">
        <v>8</v>
      </c>
      <c r="O1" s="5" t="s">
        <v>179</v>
      </c>
    </row>
    <row r="2" spans="1:20" x14ac:dyDescent="0.25">
      <c r="A2" s="1">
        <v>8</v>
      </c>
      <c r="B2" s="1" t="s">
        <v>16</v>
      </c>
      <c r="C2" s="1">
        <v>8</v>
      </c>
      <c r="D2" s="1" t="s">
        <v>25</v>
      </c>
      <c r="E2" s="1" t="s">
        <v>18</v>
      </c>
      <c r="F2" s="1" t="s">
        <v>26</v>
      </c>
      <c r="G2" s="1" t="s">
        <v>27</v>
      </c>
      <c r="H2" s="1" t="s">
        <v>14</v>
      </c>
      <c r="I2" s="1" t="s">
        <v>171</v>
      </c>
      <c r="J2" s="1">
        <v>1</v>
      </c>
      <c r="K2" s="1">
        <v>0</v>
      </c>
      <c r="L2" s="1">
        <v>0</v>
      </c>
      <c r="M2" s="1">
        <v>0</v>
      </c>
      <c r="N2" s="1">
        <v>0</v>
      </c>
      <c r="O2" s="3">
        <f xml:space="preserve"> VLOOKUP($H2, Справочник!$A$2:$B$5, 2)*VLOOKUP($I2, Справочник!$D$2:$E$5, 2)+SUM($J2:$N2)</f>
        <v>9</v>
      </c>
      <c r="Q2" s="12" t="s">
        <v>15</v>
      </c>
      <c r="R2" s="13"/>
      <c r="S2" s="12" t="s">
        <v>163</v>
      </c>
      <c r="T2" s="12"/>
    </row>
    <row r="3" spans="1:20" ht="22.5" customHeight="1" x14ac:dyDescent="0.25">
      <c r="A3" s="1">
        <v>20</v>
      </c>
      <c r="B3" s="1" t="s">
        <v>43</v>
      </c>
      <c r="C3" s="1">
        <v>20</v>
      </c>
      <c r="D3" s="1" t="s">
        <v>54</v>
      </c>
      <c r="E3" s="1" t="s">
        <v>55</v>
      </c>
      <c r="F3" s="1" t="s">
        <v>56</v>
      </c>
      <c r="G3" s="1" t="s">
        <v>57</v>
      </c>
      <c r="H3" s="1" t="s">
        <v>42</v>
      </c>
      <c r="I3" s="1" t="s">
        <v>172</v>
      </c>
      <c r="J3" s="1">
        <v>0</v>
      </c>
      <c r="K3" s="1">
        <v>0</v>
      </c>
      <c r="L3" s="1">
        <v>1</v>
      </c>
      <c r="M3" s="1">
        <v>2</v>
      </c>
      <c r="N3" s="1">
        <v>0</v>
      </c>
      <c r="O3" s="3">
        <f xml:space="preserve"> VLOOKUP($H3, Справочник!$A$2:$B$5, 2)*VLOOKUP($I3, Справочник!$D$2:$E$5, 2)+SUM($J3:$N3)</f>
        <v>8.1</v>
      </c>
      <c r="Q3" s="10" t="s">
        <v>164</v>
      </c>
      <c r="R3" s="10" t="s">
        <v>180</v>
      </c>
      <c r="S3" s="14" t="s">
        <v>188</v>
      </c>
      <c r="T3" s="14"/>
    </row>
    <row r="4" spans="1:20" x14ac:dyDescent="0.25">
      <c r="A4" s="1">
        <v>9</v>
      </c>
      <c r="B4" s="1" t="s">
        <v>16</v>
      </c>
      <c r="C4" s="1">
        <v>9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14</v>
      </c>
      <c r="I4" s="1" t="s">
        <v>173</v>
      </c>
      <c r="J4" s="1">
        <v>1</v>
      </c>
      <c r="K4" s="1">
        <v>0</v>
      </c>
      <c r="L4" s="1">
        <v>1</v>
      </c>
      <c r="M4" s="1">
        <v>0</v>
      </c>
      <c r="N4" s="1">
        <v>0</v>
      </c>
      <c r="O4" s="3">
        <f xml:space="preserve"> VLOOKUP($H4, Справочник!$A$2:$B$5, 2)*VLOOKUP($I4, Справочник!$D$2:$E$5, 2)+SUM($J4:$N4)</f>
        <v>8</v>
      </c>
      <c r="Q4" s="11"/>
      <c r="R4" s="11"/>
    </row>
    <row r="5" spans="1:20" x14ac:dyDescent="0.25">
      <c r="A5" s="1">
        <v>19</v>
      </c>
      <c r="B5" s="1" t="s">
        <v>43</v>
      </c>
      <c r="C5" s="1">
        <v>19</v>
      </c>
      <c r="D5" s="1" t="s">
        <v>44</v>
      </c>
      <c r="E5" s="1" t="s">
        <v>18</v>
      </c>
      <c r="F5" s="1" t="s">
        <v>45</v>
      </c>
      <c r="G5" s="1" t="s">
        <v>46</v>
      </c>
      <c r="H5" s="1" t="s">
        <v>14</v>
      </c>
      <c r="I5" s="1" t="s">
        <v>173</v>
      </c>
      <c r="J5" s="1">
        <v>1</v>
      </c>
      <c r="K5" s="1">
        <v>0</v>
      </c>
      <c r="L5" s="1">
        <v>0</v>
      </c>
      <c r="M5" s="1">
        <v>0</v>
      </c>
      <c r="N5" s="1">
        <v>1</v>
      </c>
      <c r="O5" s="3">
        <f xml:space="preserve"> VLOOKUP($H5, Справочник!$A$2:$B$5, 2)*VLOOKUP($I5, Справочник!$D$2:$E$5, 2)+SUM($J5:$N5)</f>
        <v>8</v>
      </c>
      <c r="Q5" s="11"/>
      <c r="R5" s="11"/>
    </row>
    <row r="6" spans="1:20" x14ac:dyDescent="0.25">
      <c r="A6" s="1">
        <v>27</v>
      </c>
      <c r="B6" s="1" t="s">
        <v>9</v>
      </c>
      <c r="C6" s="1">
        <v>12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173</v>
      </c>
      <c r="J6" s="1">
        <v>0</v>
      </c>
      <c r="K6" s="1">
        <v>0</v>
      </c>
      <c r="L6" s="1">
        <v>1</v>
      </c>
      <c r="M6" s="1">
        <v>0</v>
      </c>
      <c r="N6" s="1">
        <v>1</v>
      </c>
      <c r="O6" s="3">
        <f xml:space="preserve"> VLOOKUP($H6, Справочник!$A$2:$B$5, 2)*VLOOKUP($I6, Справочник!$D$2:$E$5, 2)+SUM($J6:$N6)</f>
        <v>8</v>
      </c>
      <c r="Q6" s="11"/>
      <c r="R6" s="11"/>
    </row>
    <row r="7" spans="1:20" x14ac:dyDescent="0.25">
      <c r="A7" s="1">
        <v>42</v>
      </c>
      <c r="B7" s="1" t="s">
        <v>38</v>
      </c>
      <c r="C7" s="1">
        <v>42</v>
      </c>
      <c r="D7" s="1" t="s">
        <v>39</v>
      </c>
      <c r="E7" s="1" t="s">
        <v>11</v>
      </c>
      <c r="F7" s="1" t="s">
        <v>40</v>
      </c>
      <c r="G7" s="1" t="s">
        <v>41</v>
      </c>
      <c r="H7" s="1" t="s">
        <v>42</v>
      </c>
      <c r="I7" s="1" t="s">
        <v>171</v>
      </c>
      <c r="J7" s="1">
        <v>1</v>
      </c>
      <c r="K7" s="1">
        <v>0</v>
      </c>
      <c r="L7" s="1">
        <v>0</v>
      </c>
      <c r="M7" s="1">
        <v>0</v>
      </c>
      <c r="N7" s="1">
        <v>1</v>
      </c>
      <c r="O7" s="3">
        <f xml:space="preserve"> VLOOKUP($H7, Справочник!$A$2:$B$5, 2)*VLOOKUP($I7, Справочник!$D$2:$E$5, 2)+SUM($J7:$N7)</f>
        <v>8</v>
      </c>
      <c r="Q7" s="11"/>
      <c r="R7" s="11"/>
    </row>
    <row r="8" spans="1:20" x14ac:dyDescent="0.25">
      <c r="A8" s="1">
        <v>25</v>
      </c>
      <c r="B8" s="1" t="s">
        <v>33</v>
      </c>
      <c r="C8" s="1">
        <v>25</v>
      </c>
      <c r="D8" s="1" t="s">
        <v>77</v>
      </c>
      <c r="E8" s="1" t="s">
        <v>78</v>
      </c>
      <c r="F8" s="1" t="s">
        <v>79</v>
      </c>
      <c r="G8" s="1" t="s">
        <v>80</v>
      </c>
      <c r="H8" s="1" t="s">
        <v>14</v>
      </c>
      <c r="I8" s="1" t="s">
        <v>173</v>
      </c>
      <c r="J8" s="1">
        <v>0</v>
      </c>
      <c r="K8" s="1">
        <v>0</v>
      </c>
      <c r="L8" s="1">
        <v>1</v>
      </c>
      <c r="M8" s="1">
        <v>0</v>
      </c>
      <c r="N8" s="1">
        <v>1</v>
      </c>
      <c r="O8" s="3">
        <f xml:space="preserve"> VLOOKUP($H8, Справочник!$A$2:$B$5, 2)*VLOOKUP($I8, Справочник!$D$2:$E$5, 2)+SUM($J8:$N8)</f>
        <v>8</v>
      </c>
      <c r="Q8" s="11"/>
      <c r="R8" s="11"/>
    </row>
    <row r="9" spans="1:20" x14ac:dyDescent="0.25">
      <c r="A9" s="1">
        <v>30</v>
      </c>
      <c r="B9" s="1" t="s">
        <v>81</v>
      </c>
      <c r="C9" s="1">
        <v>30</v>
      </c>
      <c r="D9" s="1" t="s">
        <v>82</v>
      </c>
      <c r="E9" s="1" t="s">
        <v>78</v>
      </c>
      <c r="F9" s="1" t="s">
        <v>189</v>
      </c>
      <c r="G9" s="1" t="s">
        <v>83</v>
      </c>
      <c r="H9" s="1" t="s">
        <v>14</v>
      </c>
      <c r="I9" s="1" t="s">
        <v>173</v>
      </c>
      <c r="J9" s="1">
        <v>0</v>
      </c>
      <c r="K9" s="1">
        <v>0</v>
      </c>
      <c r="L9" s="1">
        <v>1</v>
      </c>
      <c r="M9" s="1">
        <v>0</v>
      </c>
      <c r="N9" s="1">
        <v>1</v>
      </c>
      <c r="O9" s="3">
        <f xml:space="preserve"> VLOOKUP($H9, Справочник!$A$2:$B$5, 2)*VLOOKUP($I9, Справочник!$D$2:$E$5, 2)+SUM($J9:$N9)</f>
        <v>8</v>
      </c>
      <c r="Q9" s="11"/>
      <c r="R9" s="11"/>
    </row>
    <row r="10" spans="1:20" x14ac:dyDescent="0.25">
      <c r="A10" s="1">
        <v>34</v>
      </c>
      <c r="B10" s="1" t="s">
        <v>58</v>
      </c>
      <c r="C10" s="1">
        <v>34</v>
      </c>
      <c r="D10" s="1" t="s">
        <v>84</v>
      </c>
      <c r="E10" s="1" t="s">
        <v>78</v>
      </c>
      <c r="F10" s="1" t="s">
        <v>85</v>
      </c>
      <c r="G10" s="1" t="s">
        <v>86</v>
      </c>
      <c r="H10" s="1" t="s">
        <v>14</v>
      </c>
      <c r="I10" s="1" t="s">
        <v>173</v>
      </c>
      <c r="J10" s="1">
        <v>0</v>
      </c>
      <c r="K10" s="1">
        <v>0</v>
      </c>
      <c r="L10" s="1">
        <v>1</v>
      </c>
      <c r="M10" s="1">
        <v>0</v>
      </c>
      <c r="N10" s="1">
        <v>1</v>
      </c>
      <c r="O10" s="3">
        <f xml:space="preserve"> VLOOKUP($H10, Справочник!$A$2:$B$5, 2)*VLOOKUP($I10, Справочник!$D$2:$E$5, 2)+SUM($J10:$N10)</f>
        <v>8</v>
      </c>
      <c r="Q10" s="11"/>
      <c r="R10" s="11"/>
    </row>
    <row r="11" spans="1:20" x14ac:dyDescent="0.25">
      <c r="A11" s="1">
        <v>43</v>
      </c>
      <c r="B11" s="1" t="s">
        <v>21</v>
      </c>
      <c r="C11" s="1">
        <v>43</v>
      </c>
      <c r="D11" s="1" t="s">
        <v>22</v>
      </c>
      <c r="E11" s="1" t="s">
        <v>11</v>
      </c>
      <c r="F11" s="1" t="s">
        <v>23</v>
      </c>
      <c r="G11" s="1" t="s">
        <v>24</v>
      </c>
      <c r="H11" s="1" t="s">
        <v>14</v>
      </c>
      <c r="I11" s="1" t="s">
        <v>172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3">
        <f xml:space="preserve"> VLOOKUP($H11, Справочник!$A$2:$B$5, 2)*VLOOKUP($I11, Справочник!$D$2:$E$5, 2)+SUM($J11:$N11)</f>
        <v>7.8</v>
      </c>
      <c r="Q11" s="11"/>
      <c r="R11" s="11"/>
    </row>
    <row r="12" spans="1:20" x14ac:dyDescent="0.25">
      <c r="A12" s="1">
        <v>1</v>
      </c>
      <c r="B12" s="1" t="s">
        <v>63</v>
      </c>
      <c r="C12" s="1">
        <v>1</v>
      </c>
      <c r="D12" s="1" t="s">
        <v>64</v>
      </c>
      <c r="E12" s="1" t="s">
        <v>18</v>
      </c>
      <c r="F12" s="1" t="s">
        <v>65</v>
      </c>
      <c r="G12" s="1" t="s">
        <v>66</v>
      </c>
      <c r="H12" s="1" t="s">
        <v>14</v>
      </c>
      <c r="I12" s="1" t="s">
        <v>173</v>
      </c>
      <c r="J12" s="1">
        <v>1</v>
      </c>
      <c r="K12" s="1">
        <v>0</v>
      </c>
      <c r="L12" s="1">
        <v>0</v>
      </c>
      <c r="M12" s="1">
        <v>0</v>
      </c>
      <c r="N12" s="1">
        <v>0</v>
      </c>
      <c r="O12" s="3">
        <f xml:space="preserve"> VLOOKUP($H12, Справочник!$A$2:$B$5, 2)*VLOOKUP($I12, Справочник!$D$2:$E$5, 2)+SUM($J12:$N12)</f>
        <v>7</v>
      </c>
      <c r="Q12" s="11"/>
      <c r="R12" s="11"/>
    </row>
    <row r="13" spans="1:20" x14ac:dyDescent="0.25">
      <c r="A13" s="1">
        <v>16</v>
      </c>
      <c r="B13" s="1" t="s">
        <v>70</v>
      </c>
      <c r="C13" s="1">
        <v>16</v>
      </c>
      <c r="D13" s="1" t="s">
        <v>71</v>
      </c>
      <c r="E13" s="1" t="s">
        <v>18</v>
      </c>
      <c r="F13" s="1" t="s">
        <v>72</v>
      </c>
      <c r="G13" s="1" t="s">
        <v>73</v>
      </c>
      <c r="H13" s="1" t="s">
        <v>14</v>
      </c>
      <c r="I13" s="1" t="s">
        <v>173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3">
        <f xml:space="preserve"> VLOOKUP($H13, Справочник!$A$2:$B$5, 2)*VLOOKUP($I13, Справочник!$D$2:$E$5, 2)+SUM($J13:$N13)</f>
        <v>7</v>
      </c>
      <c r="Q13" s="11"/>
      <c r="R13" s="11"/>
    </row>
    <row r="14" spans="1:20" x14ac:dyDescent="0.25">
      <c r="A14" s="1">
        <v>17</v>
      </c>
      <c r="B14" s="1" t="s">
        <v>70</v>
      </c>
      <c r="C14" s="1">
        <v>17</v>
      </c>
      <c r="D14" s="1" t="s">
        <v>74</v>
      </c>
      <c r="E14" s="1" t="s">
        <v>18</v>
      </c>
      <c r="F14" s="1" t="s">
        <v>75</v>
      </c>
      <c r="G14" s="1" t="s">
        <v>76</v>
      </c>
      <c r="H14" s="1" t="s">
        <v>14</v>
      </c>
      <c r="I14" s="1" t="s">
        <v>173</v>
      </c>
      <c r="J14" s="1">
        <v>1</v>
      </c>
      <c r="K14" s="1">
        <v>0</v>
      </c>
      <c r="L14" s="1">
        <v>0</v>
      </c>
      <c r="M14" s="1">
        <v>0</v>
      </c>
      <c r="N14" s="1">
        <v>0</v>
      </c>
      <c r="O14" s="3">
        <f xml:space="preserve"> VLOOKUP($H14, Справочник!$A$2:$B$5, 2)*VLOOKUP($I14, Справочник!$D$2:$E$5, 2)+SUM($J14:$N14)</f>
        <v>7</v>
      </c>
      <c r="Q14" s="11"/>
      <c r="R14" s="11"/>
    </row>
    <row r="15" spans="1:20" x14ac:dyDescent="0.25">
      <c r="A15" s="1">
        <v>35</v>
      </c>
      <c r="B15" s="1" t="s">
        <v>29</v>
      </c>
      <c r="C15" s="1">
        <v>35</v>
      </c>
      <c r="D15" s="1" t="s">
        <v>30</v>
      </c>
      <c r="E15" s="1" t="s">
        <v>18</v>
      </c>
      <c r="F15" s="1" t="s">
        <v>31</v>
      </c>
      <c r="G15" s="1" t="s">
        <v>32</v>
      </c>
      <c r="H15" s="1" t="s">
        <v>42</v>
      </c>
      <c r="I15" s="1" t="s">
        <v>171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3">
        <f xml:space="preserve"> VLOOKUP($H15, Справочник!$A$2:$B$5, 2)*VLOOKUP($I15, Справочник!$D$2:$E$5, 2)+SUM($J15:$N15)</f>
        <v>7</v>
      </c>
      <c r="Q15" s="11"/>
      <c r="R15" s="11"/>
    </row>
    <row r="16" spans="1:20" x14ac:dyDescent="0.25">
      <c r="A16" s="1">
        <v>38</v>
      </c>
      <c r="B16" s="1" t="s">
        <v>90</v>
      </c>
      <c r="C16" s="1">
        <v>38</v>
      </c>
      <c r="D16" s="1" t="s">
        <v>91</v>
      </c>
      <c r="E16" s="1" t="s">
        <v>78</v>
      </c>
      <c r="F16" s="1" t="s">
        <v>92</v>
      </c>
      <c r="G16" s="1" t="s">
        <v>93</v>
      </c>
      <c r="H16" s="1" t="s">
        <v>14</v>
      </c>
      <c r="I16" s="1" t="s">
        <v>173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3">
        <f xml:space="preserve"> VLOOKUP($H16, Справочник!$A$2:$B$5, 2)*VLOOKUP($I16, Справочник!$D$2:$E$5, 2)+SUM($J16:$N16)</f>
        <v>6</v>
      </c>
      <c r="Q16" s="11"/>
      <c r="R16" s="11"/>
    </row>
    <row r="17" spans="1:18" x14ac:dyDescent="0.25">
      <c r="A17" s="1">
        <v>10</v>
      </c>
      <c r="B17" s="1" t="s">
        <v>16</v>
      </c>
      <c r="C17" s="1">
        <v>10</v>
      </c>
      <c r="D17" s="1" t="s">
        <v>67</v>
      </c>
      <c r="E17" s="1" t="s">
        <v>60</v>
      </c>
      <c r="F17" s="1" t="s">
        <v>68</v>
      </c>
      <c r="G17" s="1" t="s">
        <v>69</v>
      </c>
      <c r="H17" s="1" t="s">
        <v>42</v>
      </c>
      <c r="I17" s="1" t="s">
        <v>173</v>
      </c>
      <c r="J17" s="1">
        <v>0</v>
      </c>
      <c r="K17" s="1">
        <v>0</v>
      </c>
      <c r="L17" s="1">
        <v>0</v>
      </c>
      <c r="M17" s="1">
        <v>0</v>
      </c>
      <c r="N17" s="1">
        <v>1</v>
      </c>
      <c r="O17" s="3">
        <f xml:space="preserve"> VLOOKUP($H17, Справочник!$A$2:$B$5, 2)*VLOOKUP($I17, Справочник!$D$2:$E$5, 2)+SUM($J17:$N17)</f>
        <v>5.5</v>
      </c>
      <c r="Q17" s="11"/>
      <c r="R17" s="11"/>
    </row>
    <row r="18" spans="1:18" x14ac:dyDescent="0.25">
      <c r="A18" s="1">
        <v>40</v>
      </c>
      <c r="B18" s="1" t="s">
        <v>137</v>
      </c>
      <c r="C18" s="1">
        <v>40</v>
      </c>
      <c r="D18" s="1" t="s">
        <v>138</v>
      </c>
      <c r="E18" s="1" t="s">
        <v>119</v>
      </c>
      <c r="F18" s="1" t="s">
        <v>139</v>
      </c>
      <c r="G18" s="1" t="s">
        <v>140</v>
      </c>
      <c r="H18" s="1" t="s">
        <v>145</v>
      </c>
      <c r="I18" s="1" t="s">
        <v>176</v>
      </c>
      <c r="J18" s="1">
        <v>0</v>
      </c>
      <c r="K18" s="1">
        <v>2</v>
      </c>
      <c r="L18" s="1">
        <v>0</v>
      </c>
      <c r="M18" s="1">
        <v>2</v>
      </c>
      <c r="N18" s="1">
        <v>0</v>
      </c>
      <c r="O18" s="3">
        <f xml:space="preserve"> VLOOKUP($H18, Справочник!$A$2:$B$5, 2)*VLOOKUP($I18, Справочник!$D$2:$E$5, 2)+SUM($J18:$N18)</f>
        <v>5.3</v>
      </c>
    </row>
    <row r="19" spans="1:18" x14ac:dyDescent="0.25">
      <c r="A19" s="1">
        <v>2</v>
      </c>
      <c r="B19" s="1" t="s">
        <v>63</v>
      </c>
      <c r="C19" s="1">
        <v>2</v>
      </c>
      <c r="D19" s="1" t="s">
        <v>87</v>
      </c>
      <c r="E19" s="1" t="s">
        <v>11</v>
      </c>
      <c r="F19" s="1" t="s">
        <v>88</v>
      </c>
      <c r="G19" s="1" t="s">
        <v>89</v>
      </c>
      <c r="H19" s="1" t="s">
        <v>42</v>
      </c>
      <c r="I19" s="1" t="s">
        <v>173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3">
        <f xml:space="preserve"> VLOOKUP($H19, Справочник!$A$2:$B$5, 2)*VLOOKUP($I19, Справочник!$D$2:$E$5, 2)+SUM($J19:$N19)</f>
        <v>4.5</v>
      </c>
    </row>
    <row r="20" spans="1:18" x14ac:dyDescent="0.25">
      <c r="A20" s="1">
        <v>5</v>
      </c>
      <c r="B20" s="1" t="s">
        <v>63</v>
      </c>
      <c r="C20" s="1">
        <v>5</v>
      </c>
      <c r="D20" s="1" t="s">
        <v>94</v>
      </c>
      <c r="E20" s="1" t="s">
        <v>11</v>
      </c>
      <c r="F20" s="1" t="s">
        <v>95</v>
      </c>
      <c r="G20" s="1" t="s">
        <v>96</v>
      </c>
      <c r="H20" s="1" t="s">
        <v>42</v>
      </c>
      <c r="I20" s="1" t="s">
        <v>173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3">
        <f xml:space="preserve"> VLOOKUP($H20, Справочник!$A$2:$B$5, 2)*VLOOKUP($I20, Справочник!$D$2:$E$5, 2)+SUM($J20:$N20)</f>
        <v>4.5</v>
      </c>
    </row>
    <row r="21" spans="1:18" x14ac:dyDescent="0.25">
      <c r="A21" s="1">
        <v>7</v>
      </c>
      <c r="B21" s="1" t="s">
        <v>16</v>
      </c>
      <c r="C21" s="1">
        <v>7</v>
      </c>
      <c r="D21" s="1" t="s">
        <v>47</v>
      </c>
      <c r="E21" s="1" t="s">
        <v>18</v>
      </c>
      <c r="F21" s="1" t="s">
        <v>48</v>
      </c>
      <c r="G21" s="1" t="s">
        <v>49</v>
      </c>
      <c r="H21" s="1" t="s">
        <v>42</v>
      </c>
      <c r="I21" s="1" t="s">
        <v>173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3">
        <f xml:space="preserve"> VLOOKUP($H21, Справочник!$A$2:$B$5, 2)*VLOOKUP($I21, Справочник!$D$2:$E$5, 2)+SUM($J21:$N21)</f>
        <v>4.5</v>
      </c>
    </row>
    <row r="22" spans="1:18" x14ac:dyDescent="0.25">
      <c r="A22" s="1">
        <v>15</v>
      </c>
      <c r="B22" s="1" t="s">
        <v>50</v>
      </c>
      <c r="C22" s="1">
        <v>15</v>
      </c>
      <c r="D22" s="1" t="s">
        <v>51</v>
      </c>
      <c r="E22" s="1" t="s">
        <v>11</v>
      </c>
      <c r="F22" s="1" t="s">
        <v>52</v>
      </c>
      <c r="G22" s="1" t="s">
        <v>53</v>
      </c>
      <c r="H22" s="1" t="s">
        <v>42</v>
      </c>
      <c r="I22" s="1" t="s">
        <v>174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3">
        <f xml:space="preserve"> VLOOKUP($H22, Справочник!$A$2:$B$5, 2)*VLOOKUP($I22, Справочник!$D$2:$E$5, 2)+SUM($J22:$N22)</f>
        <v>3.9000000000000004</v>
      </c>
    </row>
    <row r="23" spans="1:18" x14ac:dyDescent="0.25">
      <c r="A23" s="1">
        <v>24</v>
      </c>
      <c r="B23" s="1" t="s">
        <v>33</v>
      </c>
      <c r="C23" s="1">
        <v>24</v>
      </c>
      <c r="D23" s="1" t="s">
        <v>34</v>
      </c>
      <c r="E23" s="1" t="s">
        <v>35</v>
      </c>
      <c r="F23" s="1" t="s">
        <v>36</v>
      </c>
      <c r="G23" s="1" t="s">
        <v>37</v>
      </c>
      <c r="H23" s="1" t="s">
        <v>42</v>
      </c>
      <c r="I23" s="1" t="s">
        <v>175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3">
        <f xml:space="preserve"> VLOOKUP($H23, Справочник!$A$2:$B$5, 2)*VLOOKUP($I23, Справочник!$D$2:$E$5, 2)+SUM($J23:$N23)</f>
        <v>3.9000000000000004</v>
      </c>
    </row>
    <row r="24" spans="1:18" x14ac:dyDescent="0.25">
      <c r="A24" s="1">
        <v>31</v>
      </c>
      <c r="B24" s="1" t="s">
        <v>58</v>
      </c>
      <c r="C24" s="1">
        <v>31</v>
      </c>
      <c r="D24" s="1" t="s">
        <v>97</v>
      </c>
      <c r="E24" s="1" t="s">
        <v>60</v>
      </c>
      <c r="F24" s="1" t="s">
        <v>98</v>
      </c>
      <c r="G24" s="1" t="s">
        <v>99</v>
      </c>
      <c r="H24" s="1" t="s">
        <v>42</v>
      </c>
      <c r="I24" s="1" t="s">
        <v>175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3">
        <f xml:space="preserve"> VLOOKUP($H24, Справочник!$A$2:$B$5, 2)*VLOOKUP($I24, Справочник!$D$2:$E$5, 2)+SUM($J24:$N24)</f>
        <v>3.9000000000000004</v>
      </c>
    </row>
    <row r="25" spans="1:18" x14ac:dyDescent="0.25">
      <c r="A25" s="1">
        <v>32</v>
      </c>
      <c r="B25" s="1" t="s">
        <v>58</v>
      </c>
      <c r="C25" s="1">
        <v>32</v>
      </c>
      <c r="D25" s="1" t="s">
        <v>59</v>
      </c>
      <c r="E25" s="1" t="s">
        <v>60</v>
      </c>
      <c r="F25" s="1" t="s">
        <v>61</v>
      </c>
      <c r="G25" s="1" t="s">
        <v>62</v>
      </c>
      <c r="H25" s="1" t="s">
        <v>42</v>
      </c>
      <c r="I25" s="1" t="s">
        <v>174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3">
        <f xml:space="preserve"> VLOOKUP($H25, Справочник!$A$2:$B$5, 2)*VLOOKUP($I25, Справочник!$D$2:$E$5, 2)+SUM($J25:$N25)</f>
        <v>3.9000000000000004</v>
      </c>
    </row>
    <row r="26" spans="1:18" x14ac:dyDescent="0.25">
      <c r="A26" s="1">
        <v>41</v>
      </c>
      <c r="B26" s="1" t="s">
        <v>137</v>
      </c>
      <c r="C26" s="1">
        <v>41</v>
      </c>
      <c r="D26" s="1" t="s">
        <v>141</v>
      </c>
      <c r="E26" s="1" t="s">
        <v>142</v>
      </c>
      <c r="F26" s="1" t="s">
        <v>143</v>
      </c>
      <c r="G26" s="1" t="s">
        <v>144</v>
      </c>
      <c r="H26" s="1" t="s">
        <v>28</v>
      </c>
      <c r="I26" s="1" t="s">
        <v>176</v>
      </c>
      <c r="J26" s="1">
        <v>0</v>
      </c>
      <c r="K26" s="1">
        <v>1</v>
      </c>
      <c r="L26" s="1">
        <v>0</v>
      </c>
      <c r="M26" s="1">
        <v>0</v>
      </c>
      <c r="N26" s="1">
        <v>0</v>
      </c>
      <c r="O26" s="3">
        <f xml:space="preserve"> VLOOKUP($H26, Справочник!$A$2:$B$5, 2)*VLOOKUP($I26, Справочник!$D$2:$E$5, 2)+SUM($J26:$N26)</f>
        <v>3.6</v>
      </c>
    </row>
    <row r="27" spans="1:18" x14ac:dyDescent="0.25">
      <c r="A27" s="1">
        <v>37</v>
      </c>
      <c r="B27" s="1" t="s">
        <v>90</v>
      </c>
      <c r="C27" s="1">
        <v>37</v>
      </c>
      <c r="D27" s="1" t="s">
        <v>100</v>
      </c>
      <c r="E27" s="1" t="s">
        <v>18</v>
      </c>
      <c r="F27" s="1" t="s">
        <v>101</v>
      </c>
      <c r="G27" s="1" t="s">
        <v>102</v>
      </c>
      <c r="H27" s="1" t="s">
        <v>145</v>
      </c>
      <c r="I27" s="1" t="s">
        <v>176</v>
      </c>
      <c r="J27" s="1">
        <v>1</v>
      </c>
      <c r="K27" s="1">
        <v>0</v>
      </c>
      <c r="L27" s="1">
        <v>0</v>
      </c>
      <c r="M27" s="1">
        <v>1</v>
      </c>
      <c r="N27" s="1">
        <v>0</v>
      </c>
      <c r="O27" s="3">
        <f xml:space="preserve"> VLOOKUP($H27, Справочник!$A$2:$B$5, 2)*VLOOKUP($I27, Справочник!$D$2:$E$5, 2)+SUM($J27:$N27)</f>
        <v>3.3</v>
      </c>
    </row>
    <row r="28" spans="1:18" x14ac:dyDescent="0.25">
      <c r="A28" s="1">
        <v>11</v>
      </c>
      <c r="B28" s="1" t="s">
        <v>146</v>
      </c>
      <c r="C28" s="1">
        <v>11</v>
      </c>
      <c r="D28" s="1" t="s">
        <v>147</v>
      </c>
      <c r="E28" s="1" t="s">
        <v>186</v>
      </c>
      <c r="F28" s="1" t="s">
        <v>148</v>
      </c>
      <c r="G28" s="1" t="s">
        <v>149</v>
      </c>
      <c r="H28" s="1" t="s">
        <v>28</v>
      </c>
      <c r="I28" s="1" t="s">
        <v>176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3">
        <f xml:space="preserve"> VLOOKUP($H28, Справочник!$A$2:$B$5, 2)*VLOOKUP($I28, Справочник!$D$2:$E$5, 2)+SUM($J28:$N28)</f>
        <v>2.6</v>
      </c>
    </row>
    <row r="29" spans="1:18" x14ac:dyDescent="0.25">
      <c r="A29" s="1">
        <v>12</v>
      </c>
      <c r="B29" s="1" t="s">
        <v>146</v>
      </c>
      <c r="C29" s="1">
        <v>12</v>
      </c>
      <c r="D29" s="1" t="s">
        <v>150</v>
      </c>
      <c r="E29" s="1" t="s">
        <v>186</v>
      </c>
      <c r="F29" s="1" t="s">
        <v>148</v>
      </c>
      <c r="G29" s="1" t="s">
        <v>149</v>
      </c>
      <c r="H29" s="1" t="s">
        <v>28</v>
      </c>
      <c r="I29" s="1" t="s">
        <v>176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3">
        <f xml:space="preserve"> VLOOKUP($H29, Справочник!$A$2:$B$5, 2)*VLOOKUP($I29, Справочник!$D$2:$E$5, 2)+SUM($J29:$N29)</f>
        <v>2.6</v>
      </c>
    </row>
    <row r="30" spans="1:18" x14ac:dyDescent="0.25">
      <c r="A30" s="1">
        <v>13</v>
      </c>
      <c r="B30" s="1" t="s">
        <v>146</v>
      </c>
      <c r="C30" s="1">
        <v>13</v>
      </c>
      <c r="D30" s="1" t="s">
        <v>151</v>
      </c>
      <c r="E30" s="1" t="s">
        <v>186</v>
      </c>
      <c r="F30" s="1" t="s">
        <v>148</v>
      </c>
      <c r="G30" s="1" t="s">
        <v>149</v>
      </c>
      <c r="H30" s="1" t="s">
        <v>28</v>
      </c>
      <c r="I30" s="1" t="s">
        <v>176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3">
        <f xml:space="preserve"> VLOOKUP($H30, Справочник!$A$2:$B$5, 2)*VLOOKUP($I30, Справочник!$D$2:$E$5, 2)+SUM($J30:$N30)</f>
        <v>2.6</v>
      </c>
    </row>
    <row r="31" spans="1:18" x14ac:dyDescent="0.25">
      <c r="A31" s="1">
        <v>14</v>
      </c>
      <c r="B31" s="1" t="s">
        <v>152</v>
      </c>
      <c r="C31" s="1">
        <v>14</v>
      </c>
      <c r="D31" s="1" t="s">
        <v>153</v>
      </c>
      <c r="E31" s="1" t="s">
        <v>186</v>
      </c>
      <c r="F31" s="1" t="s">
        <v>148</v>
      </c>
      <c r="G31" s="1" t="s">
        <v>149</v>
      </c>
      <c r="H31" s="1" t="s">
        <v>28</v>
      </c>
      <c r="I31" s="1" t="s">
        <v>176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3">
        <f xml:space="preserve"> VLOOKUP($H31, Справочник!$A$2:$B$5, 2)*VLOOKUP($I31, Справочник!$D$2:$E$5, 2)+SUM($J31:$N31)</f>
        <v>2.6</v>
      </c>
    </row>
    <row r="32" spans="1:18" x14ac:dyDescent="0.25">
      <c r="A32" s="1">
        <v>18</v>
      </c>
      <c r="B32" s="1" t="s">
        <v>70</v>
      </c>
      <c r="C32" s="1">
        <v>18</v>
      </c>
      <c r="D32" s="1" t="s">
        <v>154</v>
      </c>
      <c r="E32" s="1" t="s">
        <v>186</v>
      </c>
      <c r="F32" s="1" t="s">
        <v>155</v>
      </c>
      <c r="G32" s="1" t="s">
        <v>156</v>
      </c>
      <c r="H32" s="1" t="s">
        <v>28</v>
      </c>
      <c r="I32" s="1" t="s">
        <v>176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3">
        <f xml:space="preserve"> VLOOKUP($H32, Справочник!$A$2:$B$5, 2)*VLOOKUP($I32, Справочник!$D$2:$E$5, 2)+SUM($J32:$N32)</f>
        <v>2.6</v>
      </c>
    </row>
    <row r="33" spans="1:15" x14ac:dyDescent="0.25">
      <c r="A33" s="1">
        <v>23</v>
      </c>
      <c r="B33" s="1" t="s">
        <v>33</v>
      </c>
      <c r="C33" s="1">
        <v>23</v>
      </c>
      <c r="D33" s="1" t="s">
        <v>157</v>
      </c>
      <c r="E33" s="1" t="s">
        <v>186</v>
      </c>
      <c r="F33" s="1" t="s">
        <v>158</v>
      </c>
      <c r="G33" s="1" t="s">
        <v>159</v>
      </c>
      <c r="H33" s="1" t="s">
        <v>28</v>
      </c>
      <c r="I33" s="1" t="s">
        <v>175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3">
        <f xml:space="preserve"> VLOOKUP($H33, Справочник!$A$2:$B$5, 2)*VLOOKUP($I33, Справочник!$D$2:$E$5, 2)+SUM($J33:$N33)</f>
        <v>2.6</v>
      </c>
    </row>
    <row r="34" spans="1:15" x14ac:dyDescent="0.25">
      <c r="A34" s="1">
        <v>26</v>
      </c>
      <c r="B34" s="1" t="s">
        <v>9</v>
      </c>
      <c r="C34" s="1">
        <v>26</v>
      </c>
      <c r="D34" s="1" t="s">
        <v>160</v>
      </c>
      <c r="E34" s="1" t="s">
        <v>55</v>
      </c>
      <c r="F34" s="1" t="s">
        <v>161</v>
      </c>
      <c r="G34" s="1" t="s">
        <v>162</v>
      </c>
      <c r="H34" s="1" t="s">
        <v>28</v>
      </c>
      <c r="I34" s="1" t="s">
        <v>176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3">
        <f xml:space="preserve"> VLOOKUP($H34, Справочник!$A$2:$B$5, 2)*VLOOKUP($I34, Справочник!$D$2:$E$5, 2)+SUM($J34:$N34)</f>
        <v>2.6</v>
      </c>
    </row>
    <row r="35" spans="1:15" x14ac:dyDescent="0.25">
      <c r="A35" s="1">
        <v>39</v>
      </c>
      <c r="B35" s="1" t="s">
        <v>90</v>
      </c>
      <c r="C35" s="1">
        <v>33</v>
      </c>
      <c r="D35" s="1" t="s">
        <v>103</v>
      </c>
      <c r="E35" s="1" t="s">
        <v>35</v>
      </c>
      <c r="F35" s="1" t="s">
        <v>104</v>
      </c>
      <c r="G35" s="1" t="s">
        <v>105</v>
      </c>
      <c r="H35" s="1" t="s">
        <v>145</v>
      </c>
      <c r="I35" s="1" t="s">
        <v>176</v>
      </c>
      <c r="J35" s="1">
        <v>0</v>
      </c>
      <c r="K35" s="1">
        <v>1</v>
      </c>
      <c r="L35" s="1">
        <v>0</v>
      </c>
      <c r="M35" s="1">
        <v>0</v>
      </c>
      <c r="N35" s="1">
        <v>0</v>
      </c>
      <c r="O35" s="3">
        <f xml:space="preserve"> VLOOKUP($H35, Справочник!$A$2:$B$5, 2)*VLOOKUP($I35, Справочник!$D$2:$E$5, 2)+SUM($J35:$N35)</f>
        <v>2.2999999999999998</v>
      </c>
    </row>
    <row r="36" spans="1:15" x14ac:dyDescent="0.25">
      <c r="A36" s="1">
        <v>3</v>
      </c>
      <c r="B36" s="1" t="s">
        <v>63</v>
      </c>
      <c r="C36" s="1">
        <v>3</v>
      </c>
      <c r="D36" s="1" t="s">
        <v>106</v>
      </c>
      <c r="E36" s="1" t="s">
        <v>107</v>
      </c>
      <c r="F36" s="1" t="s">
        <v>108</v>
      </c>
      <c r="G36" s="1" t="s">
        <v>109</v>
      </c>
      <c r="H36" s="1" t="s">
        <v>145</v>
      </c>
      <c r="I36" s="1" t="s">
        <v>176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  <c r="O36" s="3">
        <f xml:space="preserve"> VLOOKUP($H36, Справочник!$A$2:$B$5, 2)*VLOOKUP($I36, Справочник!$D$2:$E$5, 2)+SUM($J36:$N36)</f>
        <v>2.2999999999999998</v>
      </c>
    </row>
    <row r="37" spans="1:15" x14ac:dyDescent="0.25">
      <c r="A37" s="1">
        <v>4</v>
      </c>
      <c r="B37" s="1" t="s">
        <v>63</v>
      </c>
      <c r="C37" s="1">
        <v>4</v>
      </c>
      <c r="D37" s="1" t="s">
        <v>110</v>
      </c>
      <c r="E37" s="1" t="s">
        <v>107</v>
      </c>
      <c r="F37" s="1" t="s">
        <v>111</v>
      </c>
      <c r="G37" s="1" t="s">
        <v>112</v>
      </c>
      <c r="H37" s="1" t="s">
        <v>145</v>
      </c>
      <c r="I37" s="1" t="s">
        <v>176</v>
      </c>
      <c r="J37" s="1">
        <v>0</v>
      </c>
      <c r="K37" s="1">
        <v>0</v>
      </c>
      <c r="L37" s="1">
        <v>0</v>
      </c>
      <c r="M37" s="1">
        <v>1</v>
      </c>
      <c r="N37" s="1">
        <v>0</v>
      </c>
      <c r="O37" s="3">
        <f xml:space="preserve"> VLOOKUP($H37, Справочник!$A$2:$B$5, 2)*VLOOKUP($I37, Справочник!$D$2:$E$5, 2)+SUM($J37:$N37)</f>
        <v>2.2999999999999998</v>
      </c>
    </row>
    <row r="38" spans="1:15" x14ac:dyDescent="0.25">
      <c r="A38" s="1">
        <v>6</v>
      </c>
      <c r="B38" s="1" t="s">
        <v>113</v>
      </c>
      <c r="C38" s="1">
        <v>6</v>
      </c>
      <c r="D38" s="1" t="s">
        <v>114</v>
      </c>
      <c r="E38" s="1" t="s">
        <v>78</v>
      </c>
      <c r="F38" s="1" t="s">
        <v>115</v>
      </c>
      <c r="G38" s="1" t="s">
        <v>116</v>
      </c>
      <c r="H38" s="1" t="s">
        <v>145</v>
      </c>
      <c r="I38" s="1" t="s">
        <v>176</v>
      </c>
      <c r="J38" s="1">
        <v>0</v>
      </c>
      <c r="K38" s="1">
        <v>0</v>
      </c>
      <c r="L38" s="1">
        <v>0</v>
      </c>
      <c r="M38" s="1">
        <v>1</v>
      </c>
      <c r="N38" s="1">
        <v>0</v>
      </c>
      <c r="O38" s="3">
        <f xml:space="preserve"> VLOOKUP($H38, Справочник!$A$2:$B$5, 2)*VLOOKUP($I38, Справочник!$D$2:$E$5, 2)+SUM($J38:$N38)</f>
        <v>2.2999999999999998</v>
      </c>
    </row>
    <row r="39" spans="1:15" x14ac:dyDescent="0.25">
      <c r="A39" s="1">
        <v>21</v>
      </c>
      <c r="B39" s="1" t="s">
        <v>117</v>
      </c>
      <c r="C39" s="1">
        <v>21</v>
      </c>
      <c r="D39" s="1" t="s">
        <v>118</v>
      </c>
      <c r="E39" s="1" t="s">
        <v>119</v>
      </c>
      <c r="F39" s="1" t="s">
        <v>120</v>
      </c>
      <c r="G39" s="1" t="s">
        <v>121</v>
      </c>
      <c r="H39" s="1" t="s">
        <v>145</v>
      </c>
      <c r="I39" s="1" t="s">
        <v>176</v>
      </c>
      <c r="J39" s="1">
        <v>0</v>
      </c>
      <c r="K39" s="1">
        <v>0</v>
      </c>
      <c r="L39" s="1">
        <v>0</v>
      </c>
      <c r="M39" s="1">
        <v>1</v>
      </c>
      <c r="N39" s="1">
        <v>0</v>
      </c>
      <c r="O39" s="3">
        <f xml:space="preserve"> VLOOKUP($H39, Справочник!$A$2:$B$5, 2)*VLOOKUP($I39, Справочник!$D$2:$E$5, 2)+SUM($J39:$N39)</f>
        <v>2.2999999999999998</v>
      </c>
    </row>
    <row r="40" spans="1:15" x14ac:dyDescent="0.25">
      <c r="A40" s="1">
        <v>22</v>
      </c>
      <c r="B40" s="1" t="s">
        <v>122</v>
      </c>
      <c r="C40" s="1">
        <v>22</v>
      </c>
      <c r="D40" s="1" t="s">
        <v>123</v>
      </c>
      <c r="E40" s="1" t="s">
        <v>119</v>
      </c>
      <c r="F40" s="1" t="s">
        <v>124</v>
      </c>
      <c r="G40" s="1" t="s">
        <v>125</v>
      </c>
      <c r="H40" s="1" t="s">
        <v>145</v>
      </c>
      <c r="I40" s="1" t="s">
        <v>176</v>
      </c>
      <c r="J40" s="1">
        <v>0</v>
      </c>
      <c r="K40" s="1">
        <v>0</v>
      </c>
      <c r="L40" s="1">
        <v>0</v>
      </c>
      <c r="M40" s="1">
        <v>1</v>
      </c>
      <c r="N40" s="1">
        <v>0</v>
      </c>
      <c r="O40" s="3">
        <f xml:space="preserve"> VLOOKUP($H40, Справочник!$A$2:$B$5, 2)*VLOOKUP($I40, Справочник!$D$2:$E$5, 2)+SUM($J40:$N40)</f>
        <v>2.2999999999999998</v>
      </c>
    </row>
    <row r="41" spans="1:15" x14ac:dyDescent="0.25">
      <c r="A41" s="1">
        <v>28</v>
      </c>
      <c r="B41" s="1" t="s">
        <v>9</v>
      </c>
      <c r="C41" s="1">
        <v>28</v>
      </c>
      <c r="D41" s="1" t="s">
        <v>126</v>
      </c>
      <c r="E41" s="1" t="s">
        <v>11</v>
      </c>
      <c r="F41" s="1" t="s">
        <v>127</v>
      </c>
      <c r="G41" s="1" t="s">
        <v>128</v>
      </c>
      <c r="H41" s="1" t="s">
        <v>145</v>
      </c>
      <c r="I41" s="1" t="s">
        <v>176</v>
      </c>
      <c r="J41" s="1">
        <v>0</v>
      </c>
      <c r="K41" s="1">
        <v>0</v>
      </c>
      <c r="L41" s="1">
        <v>0</v>
      </c>
      <c r="M41" s="1">
        <v>1</v>
      </c>
      <c r="N41" s="1">
        <v>0</v>
      </c>
      <c r="O41" s="3">
        <f xml:space="preserve"> VLOOKUP($H41, Справочник!$A$2:$B$5, 2)*VLOOKUP($I41, Справочник!$D$2:$E$5, 2)+SUM($J41:$N41)</f>
        <v>2.2999999999999998</v>
      </c>
    </row>
    <row r="42" spans="1:15" x14ac:dyDescent="0.25">
      <c r="A42" s="1">
        <v>29</v>
      </c>
      <c r="B42" s="1" t="s">
        <v>9</v>
      </c>
      <c r="C42" s="1">
        <v>29</v>
      </c>
      <c r="D42" s="1" t="s">
        <v>129</v>
      </c>
      <c r="E42" s="1" t="s">
        <v>107</v>
      </c>
      <c r="F42" s="1" t="s">
        <v>108</v>
      </c>
      <c r="G42" s="1" t="s">
        <v>109</v>
      </c>
      <c r="H42" s="1" t="s">
        <v>145</v>
      </c>
      <c r="I42" s="1" t="s">
        <v>176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3">
        <f xml:space="preserve"> VLOOKUP($H42, Справочник!$A$2:$B$5, 2)*VLOOKUP($I42, Справочник!$D$2:$E$5, 2)+SUM($J42:$N42)</f>
        <v>2.2999999999999998</v>
      </c>
    </row>
    <row r="43" spans="1:15" x14ac:dyDescent="0.25">
      <c r="A43" s="1">
        <v>33</v>
      </c>
      <c r="B43" s="1" t="s">
        <v>58</v>
      </c>
      <c r="C43" s="1">
        <v>33</v>
      </c>
      <c r="D43" s="1" t="s">
        <v>130</v>
      </c>
      <c r="E43" s="1" t="s">
        <v>131</v>
      </c>
      <c r="F43" s="1" t="s">
        <v>132</v>
      </c>
      <c r="G43" s="1" t="s">
        <v>133</v>
      </c>
      <c r="H43" s="1" t="s">
        <v>145</v>
      </c>
      <c r="I43" s="1" t="s">
        <v>176</v>
      </c>
      <c r="J43" s="1">
        <v>0</v>
      </c>
      <c r="K43" s="1">
        <v>0</v>
      </c>
      <c r="L43" s="1">
        <v>0</v>
      </c>
      <c r="M43" s="1">
        <v>1</v>
      </c>
      <c r="N43" s="1">
        <v>0</v>
      </c>
      <c r="O43" s="3">
        <f xml:space="preserve"> VLOOKUP($H43, Справочник!$A$2:$B$5, 2)*VLOOKUP($I43, Справочник!$D$2:$E$5, 2)+SUM($J43:$N43)</f>
        <v>2.2999999999999998</v>
      </c>
    </row>
    <row r="44" spans="1:15" x14ac:dyDescent="0.25">
      <c r="A44" s="1">
        <v>36</v>
      </c>
      <c r="B44" s="1" t="s">
        <v>29</v>
      </c>
      <c r="C44" s="1">
        <v>36</v>
      </c>
      <c r="D44" s="1" t="s">
        <v>134</v>
      </c>
      <c r="E44" s="1" t="s">
        <v>107</v>
      </c>
      <c r="F44" s="1" t="s">
        <v>135</v>
      </c>
      <c r="G44" s="1" t="s">
        <v>136</v>
      </c>
      <c r="H44" s="1" t="s">
        <v>145</v>
      </c>
      <c r="I44" s="1" t="s">
        <v>176</v>
      </c>
      <c r="J44" s="1">
        <v>0</v>
      </c>
      <c r="K44" s="1">
        <v>0</v>
      </c>
      <c r="L44" s="1">
        <v>0</v>
      </c>
      <c r="M44" s="1">
        <v>1</v>
      </c>
      <c r="N44" s="1">
        <v>0</v>
      </c>
      <c r="O44" s="3">
        <f xml:space="preserve"> VLOOKUP($H44, Справочник!$A$2:$B$5, 2)*VLOOKUP($I44, Справочник!$D$2:$E$5, 2)+SUM($J44:$N44)</f>
        <v>2.2999999999999998</v>
      </c>
    </row>
  </sheetData>
  <autoFilter ref="A1:O44" xr:uid="{00000000-0009-0000-0000-000000000000}">
    <sortState xmlns:xlrd2="http://schemas.microsoft.com/office/spreadsheetml/2017/richdata2" ref="A2:O44">
      <sortCondition descending="1" ref="O1:O44"/>
    </sortState>
  </autoFilter>
  <mergeCells count="5">
    <mergeCell ref="Q3:Q17"/>
    <mergeCell ref="Q2:R2"/>
    <mergeCell ref="R3:R17"/>
    <mergeCell ref="S3:T3"/>
    <mergeCell ref="S2:T2"/>
  </mergeCells>
  <phoneticPr fontId="7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FA276-A4AB-4AB2-9177-6FAF38E55858}">
  <dimension ref="A1:I16"/>
  <sheetViews>
    <sheetView workbookViewId="0">
      <selection activeCell="D10" sqref="D10"/>
    </sheetView>
  </sheetViews>
  <sheetFormatPr defaultRowHeight="14.25" x14ac:dyDescent="0.2"/>
  <cols>
    <col min="1" max="1" width="18.7109375" style="1" customWidth="1"/>
    <col min="2" max="7" width="9.140625" style="1"/>
    <col min="8" max="8" width="79" style="1" customWidth="1"/>
    <col min="9" max="9" width="45" style="1" customWidth="1"/>
    <col min="10" max="16384" width="9.140625" style="1"/>
  </cols>
  <sheetData>
    <row r="1" spans="1:9" ht="15.75" x14ac:dyDescent="0.25">
      <c r="A1" s="1" t="s">
        <v>168</v>
      </c>
      <c r="B1" s="1" t="s">
        <v>169</v>
      </c>
      <c r="D1" s="1" t="s">
        <v>170</v>
      </c>
      <c r="E1" s="1" t="s">
        <v>169</v>
      </c>
      <c r="H1" s="12" t="s">
        <v>187</v>
      </c>
      <c r="I1" s="12"/>
    </row>
    <row r="2" spans="1:9" x14ac:dyDescent="0.2">
      <c r="A2" s="1" t="s">
        <v>14</v>
      </c>
      <c r="B2" s="1">
        <v>4</v>
      </c>
      <c r="D2" s="1" t="s">
        <v>171</v>
      </c>
      <c r="E2" s="1">
        <v>2</v>
      </c>
      <c r="H2" s="10" t="s">
        <v>164</v>
      </c>
      <c r="I2" s="10" t="s">
        <v>165</v>
      </c>
    </row>
    <row r="3" spans="1:9" x14ac:dyDescent="0.2">
      <c r="A3" s="1" t="s">
        <v>42</v>
      </c>
      <c r="B3" s="1">
        <v>3</v>
      </c>
      <c r="D3" s="1" t="s">
        <v>172</v>
      </c>
      <c r="E3" s="1">
        <v>1.7</v>
      </c>
      <c r="H3" s="11"/>
      <c r="I3" s="11"/>
    </row>
    <row r="4" spans="1:9" x14ac:dyDescent="0.2">
      <c r="A4" s="1" t="s">
        <v>28</v>
      </c>
      <c r="B4" s="1">
        <v>2</v>
      </c>
      <c r="D4" s="1" t="s">
        <v>173</v>
      </c>
      <c r="E4" s="1">
        <v>1.5</v>
      </c>
      <c r="H4" s="11"/>
      <c r="I4" s="11"/>
    </row>
    <row r="5" spans="1:9" x14ac:dyDescent="0.2">
      <c r="A5" s="1" t="s">
        <v>145</v>
      </c>
      <c r="B5" s="1">
        <v>1</v>
      </c>
      <c r="D5" s="1" t="s">
        <v>174</v>
      </c>
      <c r="E5" s="1">
        <v>1.3</v>
      </c>
      <c r="H5" s="11"/>
      <c r="I5" s="11"/>
    </row>
    <row r="6" spans="1:9" x14ac:dyDescent="0.2">
      <c r="D6" s="1" t="s">
        <v>175</v>
      </c>
      <c r="E6" s="1">
        <v>1.1000000000000001</v>
      </c>
      <c r="H6" s="11"/>
      <c r="I6" s="11"/>
    </row>
    <row r="7" spans="1:9" x14ac:dyDescent="0.2">
      <c r="D7" s="1" t="s">
        <v>176</v>
      </c>
      <c r="E7" s="1">
        <v>1</v>
      </c>
      <c r="H7" s="11"/>
      <c r="I7" s="11"/>
    </row>
    <row r="8" spans="1:9" x14ac:dyDescent="0.2">
      <c r="H8" s="11"/>
      <c r="I8" s="11"/>
    </row>
    <row r="9" spans="1:9" x14ac:dyDescent="0.2">
      <c r="H9" s="11"/>
      <c r="I9" s="11"/>
    </row>
    <row r="10" spans="1:9" x14ac:dyDescent="0.2">
      <c r="H10" s="11"/>
      <c r="I10" s="11"/>
    </row>
    <row r="11" spans="1:9" x14ac:dyDescent="0.2">
      <c r="H11" s="11"/>
      <c r="I11" s="11"/>
    </row>
    <row r="12" spans="1:9" x14ac:dyDescent="0.2">
      <c r="H12" s="11"/>
      <c r="I12" s="11"/>
    </row>
    <row r="13" spans="1:9" x14ac:dyDescent="0.2">
      <c r="H13" s="11"/>
      <c r="I13" s="11"/>
    </row>
    <row r="14" spans="1:9" x14ac:dyDescent="0.2">
      <c r="H14" s="11"/>
      <c r="I14" s="11"/>
    </row>
    <row r="15" spans="1:9" x14ac:dyDescent="0.2">
      <c r="H15" s="11"/>
      <c r="I15" s="11"/>
    </row>
    <row r="16" spans="1:9" x14ac:dyDescent="0.2">
      <c r="H16" s="11"/>
      <c r="I16" s="11"/>
    </row>
  </sheetData>
  <mergeCells count="3">
    <mergeCell ref="H2:H16"/>
    <mergeCell ref="I2:I16"/>
    <mergeCell ref="H1:I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68AF-88C0-438B-A15B-96DBD7053895}">
  <dimension ref="A1:D42"/>
  <sheetViews>
    <sheetView workbookViewId="0">
      <selection activeCell="D1" sqref="D1"/>
    </sheetView>
  </sheetViews>
  <sheetFormatPr defaultRowHeight="14.25" x14ac:dyDescent="0.2"/>
  <cols>
    <col min="1" max="1" width="17.140625" style="1" customWidth="1"/>
    <col min="2" max="2" width="23.140625" style="1" customWidth="1"/>
    <col min="3" max="3" width="9.140625" style="1"/>
    <col min="4" max="4" width="124.5703125" style="1" customWidth="1"/>
    <col min="5" max="16384" width="9.140625" style="1"/>
  </cols>
  <sheetData>
    <row r="1" spans="1:4" ht="50.25" x14ac:dyDescent="0.25">
      <c r="A1" s="1" t="s">
        <v>2</v>
      </c>
      <c r="B1" s="1" t="s">
        <v>179</v>
      </c>
      <c r="D1" s="7" t="s">
        <v>182</v>
      </c>
    </row>
    <row r="2" spans="1:4" x14ac:dyDescent="0.2">
      <c r="A2" s="1">
        <v>12</v>
      </c>
      <c r="B2" s="1">
        <v>10.6</v>
      </c>
    </row>
    <row r="3" spans="1:4" x14ac:dyDescent="0.2">
      <c r="A3" s="1">
        <v>8</v>
      </c>
      <c r="B3" s="1">
        <v>9</v>
      </c>
    </row>
    <row r="4" spans="1:4" x14ac:dyDescent="0.2">
      <c r="A4" s="1">
        <v>20</v>
      </c>
      <c r="B4" s="1">
        <v>8.1</v>
      </c>
    </row>
    <row r="5" spans="1:4" x14ac:dyDescent="0.2">
      <c r="A5" s="1">
        <v>9</v>
      </c>
      <c r="B5" s="1">
        <v>8</v>
      </c>
    </row>
    <row r="6" spans="1:4" x14ac:dyDescent="0.2">
      <c r="A6" s="1">
        <v>19</v>
      </c>
      <c r="B6" s="1">
        <v>8</v>
      </c>
    </row>
    <row r="7" spans="1:4" x14ac:dyDescent="0.2">
      <c r="A7" s="1">
        <v>25</v>
      </c>
      <c r="B7" s="1">
        <v>8</v>
      </c>
    </row>
    <row r="8" spans="1:4" x14ac:dyDescent="0.2">
      <c r="A8" s="1">
        <v>30</v>
      </c>
      <c r="B8" s="1">
        <v>8</v>
      </c>
    </row>
    <row r="9" spans="1:4" x14ac:dyDescent="0.2">
      <c r="A9" s="1">
        <v>34</v>
      </c>
      <c r="B9" s="1">
        <v>8</v>
      </c>
    </row>
    <row r="10" spans="1:4" x14ac:dyDescent="0.2">
      <c r="A10" s="1">
        <v>42</v>
      </c>
      <c r="B10" s="1">
        <v>8</v>
      </c>
    </row>
    <row r="11" spans="1:4" x14ac:dyDescent="0.2">
      <c r="A11" s="1">
        <v>43</v>
      </c>
      <c r="B11" s="1">
        <v>7.8</v>
      </c>
    </row>
    <row r="12" spans="1:4" x14ac:dyDescent="0.2">
      <c r="A12" s="1">
        <v>1</v>
      </c>
      <c r="B12" s="1">
        <v>7</v>
      </c>
    </row>
    <row r="13" spans="1:4" x14ac:dyDescent="0.2">
      <c r="A13" s="1">
        <v>16</v>
      </c>
      <c r="B13" s="1">
        <v>7</v>
      </c>
    </row>
    <row r="14" spans="1:4" x14ac:dyDescent="0.2">
      <c r="A14" s="1">
        <v>17</v>
      </c>
      <c r="B14" s="1">
        <v>7</v>
      </c>
    </row>
    <row r="15" spans="1:4" x14ac:dyDescent="0.2">
      <c r="A15" s="1">
        <v>35</v>
      </c>
      <c r="B15" s="1">
        <v>7</v>
      </c>
    </row>
    <row r="16" spans="1:4" x14ac:dyDescent="0.2">
      <c r="A16" s="1">
        <v>38</v>
      </c>
      <c r="B16" s="1">
        <v>6</v>
      </c>
    </row>
    <row r="17" spans="1:2" x14ac:dyDescent="0.2">
      <c r="A17" s="1">
        <v>10</v>
      </c>
      <c r="B17" s="1">
        <v>5.5</v>
      </c>
    </row>
    <row r="18" spans="1:2" x14ac:dyDescent="0.2">
      <c r="A18" s="1">
        <v>40</v>
      </c>
      <c r="B18" s="1">
        <v>5.3</v>
      </c>
    </row>
    <row r="19" spans="1:2" x14ac:dyDescent="0.2">
      <c r="A19" s="1">
        <v>33</v>
      </c>
      <c r="B19" s="1">
        <v>4.5999999999999996</v>
      </c>
    </row>
    <row r="20" spans="1:2" x14ac:dyDescent="0.2">
      <c r="A20" s="1">
        <v>2</v>
      </c>
      <c r="B20" s="1">
        <v>4.5</v>
      </c>
    </row>
    <row r="21" spans="1:2" x14ac:dyDescent="0.2">
      <c r="A21" s="1">
        <v>5</v>
      </c>
      <c r="B21" s="1">
        <v>4.5</v>
      </c>
    </row>
    <row r="22" spans="1:2" x14ac:dyDescent="0.2">
      <c r="A22" s="1">
        <v>7</v>
      </c>
      <c r="B22" s="1">
        <v>4.5</v>
      </c>
    </row>
    <row r="23" spans="1:2" x14ac:dyDescent="0.2">
      <c r="A23" s="1">
        <v>15</v>
      </c>
      <c r="B23" s="1">
        <v>3.9000000000000004</v>
      </c>
    </row>
    <row r="24" spans="1:2" x14ac:dyDescent="0.2">
      <c r="A24" s="1">
        <v>24</v>
      </c>
      <c r="B24" s="1">
        <v>3.9000000000000004</v>
      </c>
    </row>
    <row r="25" spans="1:2" x14ac:dyDescent="0.2">
      <c r="A25" s="1">
        <v>31</v>
      </c>
      <c r="B25" s="1">
        <v>3.9000000000000004</v>
      </c>
    </row>
    <row r="26" spans="1:2" x14ac:dyDescent="0.2">
      <c r="A26" s="1">
        <v>32</v>
      </c>
      <c r="B26" s="1">
        <v>3.9000000000000004</v>
      </c>
    </row>
    <row r="27" spans="1:2" x14ac:dyDescent="0.2">
      <c r="A27" s="1">
        <v>41</v>
      </c>
      <c r="B27" s="1">
        <v>3.6</v>
      </c>
    </row>
    <row r="28" spans="1:2" x14ac:dyDescent="0.2">
      <c r="A28" s="1">
        <v>37</v>
      </c>
      <c r="B28" s="1">
        <v>3.3</v>
      </c>
    </row>
    <row r="29" spans="1:2" x14ac:dyDescent="0.2">
      <c r="A29" s="1">
        <v>11</v>
      </c>
      <c r="B29" s="1">
        <v>2.6</v>
      </c>
    </row>
    <row r="30" spans="1:2" x14ac:dyDescent="0.2">
      <c r="A30" s="1">
        <v>13</v>
      </c>
      <c r="B30" s="1">
        <v>2.6</v>
      </c>
    </row>
    <row r="31" spans="1:2" x14ac:dyDescent="0.2">
      <c r="A31" s="1">
        <v>14</v>
      </c>
      <c r="B31" s="1">
        <v>2.6</v>
      </c>
    </row>
    <row r="32" spans="1:2" x14ac:dyDescent="0.2">
      <c r="A32" s="1">
        <v>18</v>
      </c>
      <c r="B32" s="1">
        <v>2.6</v>
      </c>
    </row>
    <row r="33" spans="1:2" x14ac:dyDescent="0.2">
      <c r="A33" s="1">
        <v>23</v>
      </c>
      <c r="B33" s="1">
        <v>2.6</v>
      </c>
    </row>
    <row r="34" spans="1:2" x14ac:dyDescent="0.2">
      <c r="A34" s="1">
        <v>26</v>
      </c>
      <c r="B34" s="1">
        <v>2.6</v>
      </c>
    </row>
    <row r="35" spans="1:2" x14ac:dyDescent="0.2">
      <c r="A35" s="1">
        <v>3</v>
      </c>
      <c r="B35" s="1">
        <v>2.2999999999999998</v>
      </c>
    </row>
    <row r="36" spans="1:2" x14ac:dyDescent="0.2">
      <c r="A36" s="1">
        <v>4</v>
      </c>
      <c r="B36" s="1">
        <v>2.2999999999999998</v>
      </c>
    </row>
    <row r="37" spans="1:2" x14ac:dyDescent="0.2">
      <c r="A37" s="1">
        <v>6</v>
      </c>
      <c r="B37" s="1">
        <v>2.2999999999999998</v>
      </c>
    </row>
    <row r="38" spans="1:2" x14ac:dyDescent="0.2">
      <c r="A38" s="1">
        <v>21</v>
      </c>
      <c r="B38" s="1">
        <v>2.2999999999999998</v>
      </c>
    </row>
    <row r="39" spans="1:2" x14ac:dyDescent="0.2">
      <c r="A39" s="1">
        <v>22</v>
      </c>
      <c r="B39" s="1">
        <v>2.2999999999999998</v>
      </c>
    </row>
    <row r="40" spans="1:2" x14ac:dyDescent="0.2">
      <c r="A40" s="1">
        <v>28</v>
      </c>
      <c r="B40" s="1">
        <v>2.2999999999999998</v>
      </c>
    </row>
    <row r="41" spans="1:2" x14ac:dyDescent="0.2">
      <c r="A41" s="1">
        <v>29</v>
      </c>
      <c r="B41" s="1">
        <v>2.2999999999999998</v>
      </c>
    </row>
    <row r="42" spans="1:2" x14ac:dyDescent="0.2">
      <c r="A42" s="1">
        <v>36</v>
      </c>
      <c r="B42" s="1">
        <v>2.2999999999999998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B1E5-66E8-43AA-B35A-09A216D82E5E}">
  <dimension ref="A3:B15"/>
  <sheetViews>
    <sheetView workbookViewId="0">
      <selection activeCell="B14" sqref="B14"/>
    </sheetView>
  </sheetViews>
  <sheetFormatPr defaultRowHeight="15" x14ac:dyDescent="0.25"/>
  <cols>
    <col min="1" max="1" width="39.7109375" bestFit="1" customWidth="1"/>
    <col min="2" max="2" width="46.5703125" bestFit="1" customWidth="1"/>
  </cols>
  <sheetData>
    <row r="3" spans="1:2" x14ac:dyDescent="0.25">
      <c r="A3" s="8" t="s">
        <v>183</v>
      </c>
      <c r="B3" t="s">
        <v>185</v>
      </c>
    </row>
    <row r="4" spans="1:2" x14ac:dyDescent="0.25">
      <c r="A4" s="9" t="s">
        <v>18</v>
      </c>
      <c r="B4">
        <v>9</v>
      </c>
    </row>
    <row r="5" spans="1:2" x14ac:dyDescent="0.25">
      <c r="A5" s="9" t="s">
        <v>11</v>
      </c>
      <c r="B5">
        <v>7</v>
      </c>
    </row>
    <row r="6" spans="1:2" x14ac:dyDescent="0.25">
      <c r="A6" s="9" t="s">
        <v>186</v>
      </c>
      <c r="B6">
        <v>6</v>
      </c>
    </row>
    <row r="7" spans="1:2" x14ac:dyDescent="0.25">
      <c r="A7" s="9" t="s">
        <v>78</v>
      </c>
      <c r="B7">
        <v>5</v>
      </c>
    </row>
    <row r="8" spans="1:2" x14ac:dyDescent="0.25">
      <c r="A8" s="9" t="s">
        <v>107</v>
      </c>
      <c r="B8">
        <v>4</v>
      </c>
    </row>
    <row r="9" spans="1:2" x14ac:dyDescent="0.25">
      <c r="A9" s="9" t="s">
        <v>119</v>
      </c>
      <c r="B9">
        <v>3</v>
      </c>
    </row>
    <row r="10" spans="1:2" x14ac:dyDescent="0.25">
      <c r="A10" s="9" t="s">
        <v>60</v>
      </c>
      <c r="B10">
        <v>3</v>
      </c>
    </row>
    <row r="11" spans="1:2" x14ac:dyDescent="0.25">
      <c r="A11" s="9" t="s">
        <v>55</v>
      </c>
      <c r="B11">
        <v>2</v>
      </c>
    </row>
    <row r="12" spans="1:2" x14ac:dyDescent="0.25">
      <c r="A12" s="9" t="s">
        <v>35</v>
      </c>
      <c r="B12">
        <v>2</v>
      </c>
    </row>
    <row r="13" spans="1:2" x14ac:dyDescent="0.25">
      <c r="A13" s="9" t="s">
        <v>142</v>
      </c>
      <c r="B13">
        <v>1</v>
      </c>
    </row>
    <row r="14" spans="1:2" x14ac:dyDescent="0.25">
      <c r="A14" s="9" t="s">
        <v>131</v>
      </c>
      <c r="B14">
        <v>1</v>
      </c>
    </row>
    <row r="15" spans="1:2" x14ac:dyDescent="0.25">
      <c r="A15" s="9" t="s">
        <v>184</v>
      </c>
      <c r="B15">
        <v>43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Инциденты</vt:lpstr>
      <vt:lpstr>Справочник</vt:lpstr>
      <vt:lpstr>Баллы риска пользователей</vt:lpstr>
      <vt:lpstr>Виджет по источникам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 sister</cp:lastModifiedBy>
  <dcterms:created xsi:type="dcterms:W3CDTF">2026-09-08T06:20:14Z</dcterms:created>
  <dcterms:modified xsi:type="dcterms:W3CDTF">2026-09-08T17:58:40Z</dcterms:modified>
</cp:coreProperties>
</file>